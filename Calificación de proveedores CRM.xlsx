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amartinez\Downloads\"/>
    </mc:Choice>
  </mc:AlternateContent>
  <xr:revisionPtr revIDLastSave="0" documentId="8_{814EE909-E1EC-4C21-8906-48194B625AF8}" xr6:coauthVersionLast="47" xr6:coauthVersionMax="47" xr10:uidLastSave="{00000000-0000-0000-0000-000000000000}"/>
  <bookViews>
    <workbookView xWindow="20370" yWindow="-120" windowWidth="29040" windowHeight="15720" tabRatio="500" firstSheet="1" activeTab="1" xr2:uid="{00000000-000D-0000-FFFF-FFFF00000000}"/>
  </bookViews>
  <sheets>
    <sheet name="Instrucciones" sheetId="1" r:id="rId1"/>
    <sheet name="Matriz de Calificación" sheetId="2" r:id="rId2"/>
    <sheet name="Resum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C16" i="2"/>
  <c r="K15" i="2"/>
  <c r="I15" i="2"/>
  <c r="G15" i="2"/>
  <c r="E15" i="2"/>
  <c r="K14" i="2"/>
  <c r="I14" i="2"/>
  <c r="G14" i="2"/>
  <c r="E14" i="2"/>
  <c r="K13" i="2"/>
  <c r="I13" i="2"/>
  <c r="G13" i="2"/>
  <c r="E13" i="2"/>
  <c r="K12" i="2"/>
  <c r="I12" i="2"/>
  <c r="G12" i="2"/>
  <c r="E12" i="2"/>
  <c r="K11" i="2"/>
  <c r="I11" i="2"/>
  <c r="G11" i="2"/>
  <c r="E11" i="2"/>
  <c r="K10" i="2"/>
  <c r="I10" i="2"/>
  <c r="G10" i="2"/>
  <c r="E10" i="2"/>
  <c r="K9" i="2"/>
  <c r="I9" i="2"/>
  <c r="G9" i="2"/>
  <c r="E9" i="2"/>
  <c r="K8" i="2"/>
  <c r="I8" i="2"/>
  <c r="G8" i="2"/>
  <c r="E8" i="2"/>
  <c r="K7" i="2"/>
  <c r="I7" i="2"/>
  <c r="G7" i="2"/>
  <c r="E7" i="2"/>
  <c r="K6" i="2"/>
  <c r="I6" i="2"/>
  <c r="G6" i="2"/>
  <c r="E6" i="2"/>
  <c r="I16" i="2" l="1"/>
  <c r="C8" i="3" s="1"/>
  <c r="D8" i="3" s="1"/>
  <c r="E16" i="2"/>
  <c r="C6" i="3" s="1"/>
  <c r="G16" i="2"/>
  <c r="G17" i="2" s="1"/>
  <c r="K16" i="2"/>
  <c r="K17" i="2" s="1"/>
  <c r="I17" i="2" l="1"/>
  <c r="C7" i="3"/>
  <c r="E17" i="2"/>
  <c r="C9" i="3"/>
  <c r="D6" i="3"/>
  <c r="E6" i="3"/>
  <c r="D11" i="3" l="1"/>
  <c r="E9" i="3"/>
  <c r="D7" i="3"/>
  <c r="E8" i="3"/>
  <c r="E7" i="3"/>
  <c r="D9" i="3"/>
</calcChain>
</file>

<file path=xl/sharedStrings.xml><?xml version="1.0" encoding="utf-8"?>
<sst xmlns="http://schemas.openxmlformats.org/spreadsheetml/2006/main" count="51" uniqueCount="44">
  <si>
    <t>MATRIZ DE CALIFICACIÓN — RFP CRM</t>
  </si>
  <si>
    <t>Evaluación de propuestas de proveedores · Enfoque en procesos y arquitectura de procesos</t>
  </si>
  <si>
    <t>Escala de calificación (por pregunta, 1 a 5)</t>
  </si>
  <si>
    <t>Puntaje</t>
  </si>
  <si>
    <t>Significado</t>
  </si>
  <si>
    <t>1</t>
  </si>
  <si>
    <t>No cumple / capacidad no disponible.</t>
  </si>
  <si>
    <t>2</t>
  </si>
  <si>
    <t>Cumple parcialmente; requiere desarrollo o personalización significativa.</t>
  </si>
  <si>
    <t>3</t>
  </si>
  <si>
    <t>Cumple con configuración estándar del producto.</t>
  </si>
  <si>
    <t>4</t>
  </si>
  <si>
    <t>Cumple ampliamente; capacidad nativa y robusta.</t>
  </si>
  <si>
    <t>5</t>
  </si>
  <si>
    <t>Excede lo requerido; capacidad diferenciadora en el mercado.</t>
  </si>
  <si>
    <t>Evaluación de propuestas · Dimensión: procesos y arquitectura de procesos · Escala 1–5 (ver hoja Instrucciones)</t>
  </si>
  <si>
    <t>ID</t>
  </si>
  <si>
    <t>Pregunta al proveedor</t>
  </si>
  <si>
    <t>Peso</t>
  </si>
  <si>
    <t>Hubspot</t>
  </si>
  <si>
    <t>Dynamics</t>
  </si>
  <si>
    <t>SalesForce</t>
  </si>
  <si>
    <t>Zoho</t>
  </si>
  <si>
    <t>Punt.</t>
  </si>
  <si>
    <t>Pond.</t>
  </si>
  <si>
    <t xml:space="preserve">¿El CRM cuenta con un motor de procesos/workflow nativo (idealmente BPMN 2.0) para modelar procesos end-to-end del ciclo de vida del cliente (adquisición, activación, servicing, retención, cobranza)? </t>
  </si>
  <si>
    <t>¿Cómo se automatizan flujos y reglas de negocio: low-code/no-code, motor de reglas o desarrollo? ¿Qué complejidad de lógica condicional, ramificaciones y compuertas soporta sin código?</t>
  </si>
  <si>
    <t>¿Cómo orquesta procesos que cruzan varias áreas o vicepresidencias (ventas, servicio, riesgo, cobranza), incluyendo handoffs, asignación automática, escalamientos y SLAs por etapa?</t>
  </si>
  <si>
    <t>¿Cuál es el modelo de datos del cliente? ¿Ofrece vista única de cliente (golden record), jerarquías, deduplicación y extensibilidad del modelo (objetos/campos personalizados) sin comprometer las actualizaciones del producto?</t>
  </si>
  <si>
    <t>¿Qué modelo de integración provee (APIs REST/GraphQL, eventos/webhooks, iPaaS, conectores prebuilt) y cómo se integra con sistemas core (core financiero, motor de scoring, ERP, canales digitales)?</t>
  </si>
  <si>
    <t>¿Cómo garantiza la consistencia e integridad de los datos entre el CRM y los sistemas fuente (sincronización, maestros de datos, orquestación de eventos, manejo de conflictos)?</t>
  </si>
  <si>
    <t>¿Cuál es la arquitectura técnica (cloud/SaaS multi-tenant, híbrida, on-prem), su modelo de escalabilidad ante altos volúmenes transaccionales y los SLAs de disponibilidad y rendimiento?</t>
  </si>
  <si>
    <t>¿Cómo se alinea la solución con una arquitectura de procesos por niveles (L0 macroprocesos → L1 procesos → L2 subprocesos)? ¿Permite reflejar y gobernar esa jerarquía?</t>
  </si>
  <si>
    <t>¿Qué capacidades de IA/agénticas ofrece embebidas en los procesos (next-best-action, agentes, clasificación/enrutamiento automático, automatización de tareas repetitivas)? ¿Son nativas o de terceros?</t>
  </si>
  <si>
    <t>¿Qué capacidades de analítica y monitoreo de procesos incluye (process mining, tableros de KPIs de proceso, tiempos de ciclo, cuellos de botella, tasas de conversión por etapa)?</t>
  </si>
  <si>
    <t>TOTAL PONDERADO  (1 – 5)</t>
  </si>
  <si>
    <t>% de cumplimiento  (Total / 5)</t>
  </si>
  <si>
    <t>RESUMEN COMPARATIVO — RFP CRM</t>
  </si>
  <si>
    <t>Proveedor</t>
  </si>
  <si>
    <t>Puntaje total (1–5)</t>
  </si>
  <si>
    <t>% cumplimiento</t>
  </si>
  <si>
    <t>Posición</t>
  </si>
  <si>
    <t>Proveedor mejor evaluado:</t>
  </si>
  <si>
    <t>El proveedor mejor evaluado es el de mayor puntaje total en la dimensión de procesos. Se debe ponderar esta evaluación con las dimensiones comerciales y de servicio antes de la decisión final de adjudicación.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</si>
</sst>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F3A5F"/>
      <name val="Arial"/>
      <family val="2"/>
    </font>
    <font>
      <sz val="11"/>
      <color rgb="FF2E5A88"/>
      <name val="Arial"/>
      <family val="2"/>
    </font>
    <font>
      <b/>
      <sz val="12"/>
      <color rgb="FF1F3A5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777777"/>
      <name val="Arial"/>
      <family val="2"/>
    </font>
    <font>
      <b/>
      <sz val="11"/>
      <color rgb="FF1F3A5F"/>
      <name val="Arial"/>
      <family val="2"/>
    </font>
    <font>
      <b/>
      <sz val="16"/>
      <color rgb="FFFFFFFF"/>
      <name val="Calibri"/>
      <family val="2"/>
      <scheme val="minor"/>
    </font>
    <font>
      <sz val="10"/>
      <color rgb="FF2E5A8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777777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1F3A5F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5A88"/>
        <bgColor rgb="FF555555"/>
      </patternFill>
    </fill>
    <fill>
      <patternFill patternType="solid">
        <fgColor rgb="FFFFF7DA"/>
        <bgColor rgb="FFFFFFFF"/>
      </patternFill>
    </fill>
    <fill>
      <patternFill patternType="solid">
        <fgColor rgb="FFD9E2EC"/>
        <bgColor rgb="FFD9D9D9"/>
      </patternFill>
    </fill>
    <fill>
      <patternFill patternType="solid">
        <fgColor rgb="FF1F3A5F"/>
        <bgColor rgb="FF2E5A88"/>
      </patternFill>
    </fill>
    <fill>
      <patternFill patternType="solid">
        <fgColor theme="0" tint="-0.34998626667073579"/>
        <bgColor rgb="FF2E5A88"/>
      </patternFill>
    </fill>
    <fill>
      <patternFill patternType="solid">
        <fgColor theme="1" tint="0.34998626667073579"/>
        <bgColor rgb="FF2E5A88"/>
      </patternFill>
    </fill>
    <fill>
      <patternFill patternType="solid">
        <fgColor theme="0" tint="-4.9989318521683403E-2"/>
        <bgColor rgb="FFFFFFFF"/>
      </patternFill>
    </fill>
  </fills>
  <borders count="6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3D0"/>
      </left>
      <right style="thin">
        <color rgb="FFB7C3D0"/>
      </right>
      <top/>
      <bottom style="thin">
        <color rgb="FFB7C3D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/>
    <xf numFmtId="9" fontId="13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164" fontId="13" fillId="4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9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2" fontId="18" fillId="4" borderId="1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right" vertical="center"/>
    </xf>
    <xf numFmtId="0" fontId="14" fillId="0" borderId="0" xfId="0" applyFont="1" applyAlignment="1">
      <alignment horizontal="left"/>
    </xf>
    <xf numFmtId="0" fontId="11" fillId="6" borderId="0" xfId="0" applyFont="1" applyFill="1" applyAlignment="1">
      <alignment horizontal="center" vertical="center"/>
    </xf>
    <xf numFmtId="0" fontId="12" fillId="0" borderId="0" xfId="0" applyFont="1" applyAlignment="1">
      <alignment horizontal="left" inden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78787"/>
      <rgbColor rgb="FF9999FF"/>
      <rgbColor rgb="FF993366"/>
      <rgbColor rgb="FFFFF7DA"/>
      <rgbColor rgb="FFEAF0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C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77777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Puntaje total por proveedor (1–5)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Resumen!$C$5</c:f>
              <c:strCache>
                <c:ptCount val="1"/>
                <c:pt idx="0">
                  <c:v>Puntaje total (1–5)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34-4F47-8EA5-6BA0CF4037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Resumen!$B$6:$B$9</c:f>
              <c:strCache>
                <c:ptCount val="4"/>
                <c:pt idx="0">
                  <c:v>Hubspot</c:v>
                </c:pt>
                <c:pt idx="1">
                  <c:v>Dynamics</c:v>
                </c:pt>
                <c:pt idx="2">
                  <c:v>SalesForce</c:v>
                </c:pt>
                <c:pt idx="3">
                  <c:v>Zoho</c:v>
                </c:pt>
              </c:strCache>
            </c:strRef>
          </c:cat>
          <c:val>
            <c:numRef>
              <c:f>Resumen!$C$6:$C$9</c:f>
              <c:numCache>
                <c:formatCode>0.00</c:formatCode>
                <c:ptCount val="4"/>
                <c:pt idx="0">
                  <c:v>3.67</c:v>
                </c:pt>
                <c:pt idx="1">
                  <c:v>3.5000000000000004</c:v>
                </c:pt>
                <c:pt idx="2">
                  <c:v>4.2700000000000005</c:v>
                </c:pt>
                <c:pt idx="3">
                  <c:v>2.4800000000000004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4-4F47-8EA5-6BA0CF40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76576"/>
        <c:axId val="57337327"/>
      </c:barChart>
      <c:catAx>
        <c:axId val="898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37327"/>
        <c:crosses val="autoZero"/>
        <c:auto val="1"/>
        <c:lblAlgn val="ctr"/>
        <c:lblOffset val="100"/>
        <c:noMultiLvlLbl val="0"/>
      </c:catAx>
      <c:valAx>
        <c:axId val="573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Puntaje ponderado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87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131040</xdr:rowOff>
    </xdr:from>
    <xdr:to>
      <xdr:col>14</xdr:col>
      <xdr:colOff>507600</xdr:colOff>
      <xdr:row>18</xdr:row>
      <xdr:rowOff>19650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showGridLines="0" zoomScaleNormal="100" workbookViewId="0">
      <selection activeCell="B6" sqref="B6:F6"/>
    </sheetView>
  </sheetViews>
  <sheetFormatPr defaultColWidth="8.7109375" defaultRowHeight="15"/>
  <cols>
    <col min="1" max="1" width="2" customWidth="1"/>
    <col min="2" max="2" width="12" customWidth="1"/>
    <col min="3" max="6" width="22" customWidth="1"/>
  </cols>
  <sheetData>
    <row r="2" spans="2:6" ht="20.25">
      <c r="B2" s="32" t="s">
        <v>0</v>
      </c>
      <c r="C2" s="32"/>
      <c r="D2" s="32"/>
      <c r="E2" s="32"/>
      <c r="F2" s="32"/>
    </row>
    <row r="3" spans="2:6">
      <c r="B3" s="33" t="s">
        <v>1</v>
      </c>
      <c r="C3" s="33"/>
      <c r="D3" s="33"/>
      <c r="E3" s="33"/>
      <c r="F3" s="33"/>
    </row>
    <row r="6" spans="2:6" ht="15.75">
      <c r="B6" s="27" t="s">
        <v>2</v>
      </c>
      <c r="C6" s="27"/>
      <c r="D6" s="27"/>
      <c r="E6" s="27"/>
      <c r="F6" s="27"/>
    </row>
    <row r="7" spans="2:6" ht="15" customHeight="1">
      <c r="B7" s="16" t="s">
        <v>3</v>
      </c>
      <c r="C7" s="28" t="s">
        <v>4</v>
      </c>
      <c r="D7" s="28"/>
      <c r="E7" s="28"/>
      <c r="F7" s="28"/>
    </row>
    <row r="8" spans="2:6" ht="15" customHeight="1">
      <c r="B8" s="17" t="s">
        <v>5</v>
      </c>
      <c r="C8" s="26" t="s">
        <v>6</v>
      </c>
      <c r="D8" s="26"/>
      <c r="E8" s="26"/>
      <c r="F8" s="26"/>
    </row>
    <row r="9" spans="2:6" ht="15" customHeight="1">
      <c r="B9" s="17" t="s">
        <v>7</v>
      </c>
      <c r="C9" s="26" t="s">
        <v>8</v>
      </c>
      <c r="D9" s="26"/>
      <c r="E9" s="26"/>
      <c r="F9" s="26"/>
    </row>
    <row r="10" spans="2:6" ht="15" customHeight="1">
      <c r="B10" s="17" t="s">
        <v>9</v>
      </c>
      <c r="C10" s="26" t="s">
        <v>10</v>
      </c>
      <c r="D10" s="26"/>
      <c r="E10" s="26"/>
      <c r="F10" s="26"/>
    </row>
    <row r="11" spans="2:6" ht="15" customHeight="1">
      <c r="B11" s="17" t="s">
        <v>11</v>
      </c>
      <c r="C11" s="26" t="s">
        <v>12</v>
      </c>
      <c r="D11" s="26"/>
      <c r="E11" s="26"/>
      <c r="F11" s="26"/>
    </row>
    <row r="12" spans="2:6" ht="15" customHeight="1">
      <c r="B12" s="17" t="s">
        <v>13</v>
      </c>
      <c r="C12" s="26" t="s">
        <v>14</v>
      </c>
      <c r="D12" s="26"/>
      <c r="E12" s="26"/>
      <c r="F12" s="26"/>
    </row>
  </sheetData>
  <mergeCells count="9">
    <mergeCell ref="C9:F9"/>
    <mergeCell ref="C10:F10"/>
    <mergeCell ref="C11:F11"/>
    <mergeCell ref="C12:F12"/>
    <mergeCell ref="B2:F2"/>
    <mergeCell ref="B3:F3"/>
    <mergeCell ref="B6:F6"/>
    <mergeCell ref="C7:F7"/>
    <mergeCell ref="C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showGridLines="0" tabSelected="1" zoomScaleNormal="100" workbookViewId="0">
      <pane xSplit="3" ySplit="5" topLeftCell="D6" activePane="bottomRight" state="frozen"/>
      <selection pane="bottomRight" activeCell="B7" sqref="B7"/>
      <selection pane="bottomLeft" activeCell="A6" sqref="A6"/>
      <selection pane="topRight" activeCell="F1" sqref="F1"/>
    </sheetView>
  </sheetViews>
  <sheetFormatPr defaultColWidth="8.7109375" defaultRowHeight="15"/>
  <cols>
    <col min="1" max="1" width="5" style="5" customWidth="1"/>
    <col min="2" max="2" width="72.5703125" style="5" customWidth="1"/>
    <col min="3" max="3" width="13.42578125" style="5" customWidth="1"/>
    <col min="4" max="11" width="12.42578125" style="5" customWidth="1"/>
    <col min="12" max="16384" width="8.7109375" style="5"/>
  </cols>
  <sheetData>
    <row r="1" spans="1:11" ht="30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8" customHeight="1">
      <c r="A2" s="22" t="s">
        <v>15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ht="15" customHeight="1">
      <c r="A4" s="23" t="s">
        <v>16</v>
      </c>
      <c r="B4" s="23" t="s">
        <v>17</v>
      </c>
      <c r="C4" s="23" t="s">
        <v>18</v>
      </c>
      <c r="D4" s="25" t="s">
        <v>19</v>
      </c>
      <c r="E4" s="25"/>
      <c r="F4" s="25" t="s">
        <v>20</v>
      </c>
      <c r="G4" s="25"/>
      <c r="H4" s="25" t="s">
        <v>21</v>
      </c>
      <c r="I4" s="25"/>
      <c r="J4" s="25" t="s">
        <v>22</v>
      </c>
      <c r="K4" s="25"/>
    </row>
    <row r="5" spans="1:11" ht="15.75">
      <c r="A5" s="24"/>
      <c r="B5" s="23"/>
      <c r="C5" s="23"/>
      <c r="D5" s="9" t="s">
        <v>23</v>
      </c>
      <c r="E5" s="9" t="s">
        <v>24</v>
      </c>
      <c r="F5" s="9" t="s">
        <v>23</v>
      </c>
      <c r="G5" s="9" t="s">
        <v>24</v>
      </c>
      <c r="H5" s="9" t="s">
        <v>23</v>
      </c>
      <c r="I5" s="9" t="s">
        <v>24</v>
      </c>
      <c r="J5" s="9" t="s">
        <v>23</v>
      </c>
      <c r="K5" s="9" t="s">
        <v>24</v>
      </c>
    </row>
    <row r="6" spans="1:11" ht="69.75" customHeight="1">
      <c r="A6" s="10">
        <v>1</v>
      </c>
      <c r="B6" s="11" t="s">
        <v>25</v>
      </c>
      <c r="C6" s="12">
        <v>0.12</v>
      </c>
      <c r="D6" s="13">
        <v>4</v>
      </c>
      <c r="E6" s="14">
        <f t="shared" ref="E6:E15" si="0">$C6*D6</f>
        <v>0.48</v>
      </c>
      <c r="F6" s="13">
        <v>3</v>
      </c>
      <c r="G6" s="14">
        <f t="shared" ref="G6:G15" si="1">$C6*F6</f>
        <v>0.36</v>
      </c>
      <c r="H6" s="13">
        <v>5</v>
      </c>
      <c r="I6" s="14">
        <f t="shared" ref="I6:I15" si="2">$C6*H6</f>
        <v>0.6</v>
      </c>
      <c r="J6" s="13">
        <v>2</v>
      </c>
      <c r="K6" s="14">
        <f t="shared" ref="K6:K15" si="3">$C6*J6</f>
        <v>0.24</v>
      </c>
    </row>
    <row r="7" spans="1:11" ht="69.75" customHeight="1">
      <c r="A7" s="10">
        <v>2</v>
      </c>
      <c r="B7" s="11" t="s">
        <v>26</v>
      </c>
      <c r="C7" s="12">
        <v>0.1</v>
      </c>
      <c r="D7" s="13">
        <v>4</v>
      </c>
      <c r="E7" s="14">
        <f t="shared" si="0"/>
        <v>0.4</v>
      </c>
      <c r="F7" s="13">
        <v>4</v>
      </c>
      <c r="G7" s="14">
        <f t="shared" si="1"/>
        <v>0.4</v>
      </c>
      <c r="H7" s="13">
        <v>4</v>
      </c>
      <c r="I7" s="14">
        <f t="shared" si="2"/>
        <v>0.4</v>
      </c>
      <c r="J7" s="13">
        <v>3</v>
      </c>
      <c r="K7" s="14">
        <f t="shared" si="3"/>
        <v>0.30000000000000004</v>
      </c>
    </row>
    <row r="8" spans="1:11" ht="69.75" customHeight="1">
      <c r="A8" s="10">
        <v>3</v>
      </c>
      <c r="B8" s="11" t="s">
        <v>27</v>
      </c>
      <c r="C8" s="12">
        <v>0.1</v>
      </c>
      <c r="D8" s="13">
        <v>3</v>
      </c>
      <c r="E8" s="14">
        <f t="shared" si="0"/>
        <v>0.30000000000000004</v>
      </c>
      <c r="F8" s="13">
        <v>4</v>
      </c>
      <c r="G8" s="14">
        <f t="shared" si="1"/>
        <v>0.4</v>
      </c>
      <c r="H8" s="13">
        <v>4</v>
      </c>
      <c r="I8" s="14">
        <f t="shared" si="2"/>
        <v>0.4</v>
      </c>
      <c r="J8" s="13">
        <v>2</v>
      </c>
      <c r="K8" s="14">
        <f t="shared" si="3"/>
        <v>0.2</v>
      </c>
    </row>
    <row r="9" spans="1:11" ht="75" customHeight="1">
      <c r="A9" s="10">
        <v>4</v>
      </c>
      <c r="B9" s="11" t="s">
        <v>28</v>
      </c>
      <c r="C9" s="12">
        <v>0.08</v>
      </c>
      <c r="D9" s="13">
        <v>3</v>
      </c>
      <c r="E9" s="14">
        <f t="shared" si="0"/>
        <v>0.24</v>
      </c>
      <c r="F9" s="13">
        <v>3</v>
      </c>
      <c r="G9" s="14">
        <f t="shared" si="1"/>
        <v>0.24</v>
      </c>
      <c r="H9" s="13">
        <v>4</v>
      </c>
      <c r="I9" s="14">
        <f t="shared" si="2"/>
        <v>0.32</v>
      </c>
      <c r="J9" s="13">
        <v>3</v>
      </c>
      <c r="K9" s="14">
        <f t="shared" si="3"/>
        <v>0.24</v>
      </c>
    </row>
    <row r="10" spans="1:11" ht="69.75" customHeight="1">
      <c r="A10" s="10">
        <v>5</v>
      </c>
      <c r="B10" s="11" t="s">
        <v>29</v>
      </c>
      <c r="C10" s="12">
        <v>7.0000000000000007E-2</v>
      </c>
      <c r="D10" s="13">
        <v>4</v>
      </c>
      <c r="E10" s="14">
        <f t="shared" si="0"/>
        <v>0.28000000000000003</v>
      </c>
      <c r="F10" s="13">
        <v>4</v>
      </c>
      <c r="G10" s="14">
        <f t="shared" si="1"/>
        <v>0.28000000000000003</v>
      </c>
      <c r="H10" s="13">
        <v>4</v>
      </c>
      <c r="I10" s="14">
        <f t="shared" si="2"/>
        <v>0.28000000000000003</v>
      </c>
      <c r="J10" s="13">
        <v>3</v>
      </c>
      <c r="K10" s="14">
        <f t="shared" si="3"/>
        <v>0.21000000000000002</v>
      </c>
    </row>
    <row r="11" spans="1:11" ht="69.75" customHeight="1">
      <c r="A11" s="10">
        <v>6</v>
      </c>
      <c r="B11" s="11" t="s">
        <v>30</v>
      </c>
      <c r="C11" s="12">
        <v>0.1</v>
      </c>
      <c r="D11" s="13">
        <v>4</v>
      </c>
      <c r="E11" s="14">
        <f t="shared" si="0"/>
        <v>0.4</v>
      </c>
      <c r="F11" s="13">
        <v>4</v>
      </c>
      <c r="G11" s="14">
        <f t="shared" si="1"/>
        <v>0.4</v>
      </c>
      <c r="H11" s="13">
        <v>4</v>
      </c>
      <c r="I11" s="14">
        <f t="shared" si="2"/>
        <v>0.4</v>
      </c>
      <c r="J11" s="13">
        <v>3</v>
      </c>
      <c r="K11" s="14">
        <f t="shared" si="3"/>
        <v>0.30000000000000004</v>
      </c>
    </row>
    <row r="12" spans="1:11" ht="69.75" customHeight="1">
      <c r="A12" s="10">
        <v>7</v>
      </c>
      <c r="B12" s="11" t="s">
        <v>31</v>
      </c>
      <c r="C12" s="12">
        <v>0.05</v>
      </c>
      <c r="D12" s="13">
        <v>4</v>
      </c>
      <c r="E12" s="14">
        <f t="shared" si="0"/>
        <v>0.2</v>
      </c>
      <c r="F12" s="13">
        <v>4</v>
      </c>
      <c r="G12" s="14">
        <f t="shared" si="1"/>
        <v>0.2</v>
      </c>
      <c r="H12" s="13">
        <v>4</v>
      </c>
      <c r="I12" s="14">
        <f t="shared" si="2"/>
        <v>0.2</v>
      </c>
      <c r="J12" s="13">
        <v>3</v>
      </c>
      <c r="K12" s="14">
        <f t="shared" si="3"/>
        <v>0.15000000000000002</v>
      </c>
    </row>
    <row r="13" spans="1:11" ht="69.75" customHeight="1">
      <c r="A13" s="10">
        <v>8</v>
      </c>
      <c r="B13" s="11" t="s">
        <v>32</v>
      </c>
      <c r="C13" s="12">
        <v>0.15</v>
      </c>
      <c r="D13" s="13">
        <v>3</v>
      </c>
      <c r="E13" s="14">
        <f t="shared" si="0"/>
        <v>0.44999999999999996</v>
      </c>
      <c r="F13" s="13">
        <v>3</v>
      </c>
      <c r="G13" s="14">
        <f t="shared" si="1"/>
        <v>0.44999999999999996</v>
      </c>
      <c r="H13" s="13">
        <v>4</v>
      </c>
      <c r="I13" s="14">
        <f t="shared" si="2"/>
        <v>0.6</v>
      </c>
      <c r="J13" s="13">
        <v>2</v>
      </c>
      <c r="K13" s="14">
        <f t="shared" si="3"/>
        <v>0.3</v>
      </c>
    </row>
    <row r="14" spans="1:11" ht="69.75" customHeight="1">
      <c r="A14" s="10">
        <v>9</v>
      </c>
      <c r="B14" s="11" t="s">
        <v>33</v>
      </c>
      <c r="C14" s="12">
        <v>0.15</v>
      </c>
      <c r="D14" s="13">
        <v>4</v>
      </c>
      <c r="E14" s="14">
        <f t="shared" si="0"/>
        <v>0.6</v>
      </c>
      <c r="F14" s="13">
        <v>3</v>
      </c>
      <c r="G14" s="14">
        <f t="shared" si="1"/>
        <v>0.44999999999999996</v>
      </c>
      <c r="H14" s="13">
        <v>5</v>
      </c>
      <c r="I14" s="14">
        <f t="shared" si="2"/>
        <v>0.75</v>
      </c>
      <c r="J14" s="13">
        <v>2</v>
      </c>
      <c r="K14" s="14">
        <f t="shared" si="3"/>
        <v>0.3</v>
      </c>
    </row>
    <row r="15" spans="1:11" ht="69.75" customHeight="1">
      <c r="A15" s="10">
        <v>10</v>
      </c>
      <c r="B15" s="11" t="s">
        <v>34</v>
      </c>
      <c r="C15" s="12">
        <v>0.08</v>
      </c>
      <c r="D15" s="13">
        <v>4</v>
      </c>
      <c r="E15" s="14">
        <f t="shared" si="0"/>
        <v>0.32</v>
      </c>
      <c r="F15" s="13">
        <v>4</v>
      </c>
      <c r="G15" s="14">
        <f t="shared" si="1"/>
        <v>0.32</v>
      </c>
      <c r="H15" s="13">
        <v>4</v>
      </c>
      <c r="I15" s="14">
        <f t="shared" si="2"/>
        <v>0.32</v>
      </c>
      <c r="J15" s="13">
        <v>3</v>
      </c>
      <c r="K15" s="14">
        <f t="shared" si="3"/>
        <v>0.24</v>
      </c>
    </row>
    <row r="16" spans="1:11">
      <c r="A16" s="19" t="s">
        <v>35</v>
      </c>
      <c r="B16" s="19"/>
      <c r="C16" s="6">
        <f>SUM(C6:C15)</f>
        <v>1.0000000000000002</v>
      </c>
      <c r="D16" s="7"/>
      <c r="E16" s="15">
        <f>SUM(E6:E15)</f>
        <v>3.67</v>
      </c>
      <c r="F16" s="7"/>
      <c r="G16" s="15">
        <f>SUM(G6:G15)</f>
        <v>3.5000000000000004</v>
      </c>
      <c r="H16" s="7"/>
      <c r="I16" s="15">
        <f>SUM(I6:I15)</f>
        <v>4.2700000000000005</v>
      </c>
      <c r="J16" s="7"/>
      <c r="K16" s="15">
        <f>SUM(K6:K15)</f>
        <v>2.4800000000000004</v>
      </c>
    </row>
    <row r="17" spans="1:11">
      <c r="A17" s="19" t="s">
        <v>36</v>
      </c>
      <c r="B17" s="19"/>
      <c r="C17" s="7"/>
      <c r="D17" s="7"/>
      <c r="E17" s="8">
        <f>E16/5</f>
        <v>0.73399999999999999</v>
      </c>
      <c r="F17" s="7"/>
      <c r="G17" s="8">
        <f>G16/5</f>
        <v>0.70000000000000007</v>
      </c>
      <c r="H17" s="7"/>
      <c r="I17" s="8">
        <f>I16/5</f>
        <v>0.85400000000000009</v>
      </c>
      <c r="J17" s="7"/>
      <c r="K17" s="8">
        <f>K16/5</f>
        <v>0.49600000000000011</v>
      </c>
    </row>
    <row r="19" spans="1:1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</sheetData>
  <mergeCells count="12">
    <mergeCell ref="A16:B16"/>
    <mergeCell ref="A17:B17"/>
    <mergeCell ref="A19:K19"/>
    <mergeCell ref="A1:K1"/>
    <mergeCell ref="A2:K2"/>
    <mergeCell ref="A4:A5"/>
    <mergeCell ref="B4:B5"/>
    <mergeCell ref="C4:C5"/>
    <mergeCell ref="D4:E4"/>
    <mergeCell ref="F4:G4"/>
    <mergeCell ref="H4:I4"/>
    <mergeCell ref="J4:K4"/>
  </mergeCells>
  <dataValidations count="1">
    <dataValidation type="whole" allowBlank="1" showErrorMessage="1" errorTitle="Puntaje inválido" error="Ingrese un entero entre 1 y 5." sqref="J6:J15 H6:H15 F6:F15 D6:D15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4"/>
  <sheetViews>
    <sheetView showGridLines="0" zoomScaleNormal="100" workbookViewId="0">
      <selection activeCell="B13" sqref="B13:E14"/>
    </sheetView>
  </sheetViews>
  <sheetFormatPr defaultColWidth="8.7109375" defaultRowHeight="15"/>
  <cols>
    <col min="1" max="1" width="2" customWidth="1"/>
    <col min="2" max="2" width="24" customWidth="1"/>
    <col min="3" max="3" width="18" customWidth="1"/>
    <col min="4" max="4" width="16" customWidth="1"/>
    <col min="5" max="5" width="13.140625" customWidth="1"/>
  </cols>
  <sheetData>
    <row r="2" spans="2:6" ht="20.25">
      <c r="B2" s="32" t="s">
        <v>37</v>
      </c>
      <c r="C2" s="32"/>
      <c r="D2" s="32"/>
      <c r="E2" s="32"/>
      <c r="F2" s="32"/>
    </row>
    <row r="3" spans="2:6">
      <c r="B3" s="33"/>
      <c r="C3" s="33"/>
      <c r="D3" s="33"/>
      <c r="E3" s="33"/>
      <c r="F3" s="33"/>
    </row>
    <row r="5" spans="2:6">
      <c r="B5" s="1" t="s">
        <v>38</v>
      </c>
      <c r="C5" s="1" t="s">
        <v>39</v>
      </c>
      <c r="D5" s="1" t="s">
        <v>40</v>
      </c>
      <c r="E5" s="1" t="s">
        <v>41</v>
      </c>
    </row>
    <row r="6" spans="2:6">
      <c r="B6" s="18" t="str">
        <f>'Matriz de Calificación'!D4</f>
        <v>Hubspot</v>
      </c>
      <c r="C6" s="2">
        <f>'Matriz de Calificación'!E16</f>
        <v>3.67</v>
      </c>
      <c r="D6" s="3">
        <f>C6/5</f>
        <v>0.73399999999999999</v>
      </c>
      <c r="E6" s="4">
        <f>RANK(C6,$C$6:$C$9,0)</f>
        <v>2</v>
      </c>
    </row>
    <row r="7" spans="2:6">
      <c r="B7" s="18" t="str">
        <f>'Matriz de Calificación'!F4</f>
        <v>Dynamics</v>
      </c>
      <c r="C7" s="2">
        <f>'Matriz de Calificación'!G16</f>
        <v>3.5000000000000004</v>
      </c>
      <c r="D7" s="3">
        <f>C7/5</f>
        <v>0.70000000000000007</v>
      </c>
      <c r="E7" s="4">
        <f>RANK(C7,$C$6:$C$9,0)</f>
        <v>3</v>
      </c>
    </row>
    <row r="8" spans="2:6">
      <c r="B8" s="18" t="str">
        <f>'Matriz de Calificación'!H4</f>
        <v>SalesForce</v>
      </c>
      <c r="C8" s="2">
        <f>'Matriz de Calificación'!I16</f>
        <v>4.2700000000000005</v>
      </c>
      <c r="D8" s="3">
        <f>C8/5</f>
        <v>0.85400000000000009</v>
      </c>
      <c r="E8" s="4">
        <f>RANK(C8,$C$6:$C$9,0)</f>
        <v>1</v>
      </c>
    </row>
    <row r="9" spans="2:6">
      <c r="B9" s="18" t="str">
        <f>'Matriz de Calificación'!J4</f>
        <v>Zoho</v>
      </c>
      <c r="C9" s="2">
        <f>'Matriz de Calificación'!K16</f>
        <v>2.4800000000000004</v>
      </c>
      <c r="D9" s="3">
        <f>C9/5</f>
        <v>0.49600000000000011</v>
      </c>
      <c r="E9" s="4">
        <f>RANK(C9,$C$6:$C$9,0)</f>
        <v>4</v>
      </c>
    </row>
    <row r="11" spans="2:6" ht="15.75">
      <c r="B11" s="29" t="s">
        <v>42</v>
      </c>
      <c r="C11" s="29"/>
      <c r="D11" s="30" t="str">
        <f>INDEX(B6:B9,MATCH(MAX(C6:C9),C6:C9,0))</f>
        <v>SalesForce</v>
      </c>
      <c r="E11" s="30"/>
    </row>
    <row r="13" spans="2:6" ht="15" customHeight="1">
      <c r="B13" s="31" t="s">
        <v>43</v>
      </c>
      <c r="C13" s="31"/>
      <c r="D13" s="31"/>
      <c r="E13" s="31"/>
    </row>
    <row r="14" spans="2:6" ht="25.5" customHeight="1">
      <c r="B14" s="31"/>
      <c r="C14" s="31"/>
      <c r="D14" s="31"/>
      <c r="E14" s="31"/>
    </row>
  </sheetData>
  <mergeCells count="5">
    <mergeCell ref="B2:F2"/>
    <mergeCell ref="B3:F3"/>
    <mergeCell ref="B11:C11"/>
    <mergeCell ref="D11:E11"/>
    <mergeCell ref="B13:E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2026-07-17T14:25:13Z</dcterms:created>
  <dcterms:modified xsi:type="dcterms:W3CDTF">2026-10-08T00:10:23Z</dcterms:modified>
  <cp:category/>
  <cp:contentStatus/>
</cp:coreProperties>
</file>