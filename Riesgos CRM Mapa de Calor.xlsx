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istecredito-my.sharepoint.com/personal/julflorez_sistecredito_com/Documents/Escritorio/Especializacion Ingenieria de Software/Gestion de Proyectos/Proyecto de Aula/"/>
    </mc:Choice>
  </mc:AlternateContent>
  <xr:revisionPtr revIDLastSave="6" documentId="11_E4E0103FAC4BA744DB0A6EBC7F1939FEBFDB02F8" xr6:coauthVersionLast="47" xr6:coauthVersionMax="47" xr10:uidLastSave="{F299B4C8-D807-4369-A167-78591C8D1CFC}"/>
  <bookViews>
    <workbookView xWindow="-110" yWindow="-110" windowWidth="19420" windowHeight="10300" tabRatio="500" activeTab="1" xr2:uid="{00000000-000D-0000-FFFF-FFFF00000000}"/>
  </bookViews>
  <sheets>
    <sheet name="Riesgos" sheetId="1" r:id="rId1"/>
    <sheet name="Mapa de calor" sheetId="2" r:id="rId2"/>
    <sheet name="Cronograma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4" l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H3" i="4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H13" i="1"/>
  <c r="K13" i="1" s="1"/>
  <c r="G13" i="1"/>
  <c r="H12" i="1"/>
  <c r="K12" i="1" s="1"/>
  <c r="G12" i="1"/>
  <c r="H11" i="1"/>
  <c r="K11" i="1" s="1"/>
  <c r="G11" i="1"/>
  <c r="G10" i="1"/>
  <c r="H10" i="1" s="1"/>
  <c r="K10" i="1" s="1"/>
  <c r="G9" i="1"/>
  <c r="H9" i="1" s="1"/>
  <c r="K9" i="1" s="1"/>
  <c r="G8" i="1"/>
  <c r="H8" i="1" s="1"/>
  <c r="K8" i="1" s="1"/>
  <c r="G7" i="1"/>
  <c r="H7" i="1" s="1"/>
  <c r="K7" i="1" s="1"/>
  <c r="G6" i="1"/>
  <c r="H6" i="1" s="1"/>
  <c r="K6" i="1" s="1"/>
  <c r="G5" i="1"/>
  <c r="H5" i="1" s="1"/>
  <c r="H5" i="4" l="1"/>
  <c r="H12" i="4"/>
  <c r="H13" i="4"/>
  <c r="H11" i="4"/>
  <c r="H10" i="4"/>
  <c r="H8" i="4"/>
  <c r="H9" i="4"/>
  <c r="H7" i="4"/>
  <c r="H6" i="4"/>
  <c r="I3" i="4"/>
  <c r="K5" i="1"/>
  <c r="B20" i="2"/>
  <c r="B19" i="2"/>
  <c r="B22" i="2"/>
  <c r="B23" i="2"/>
  <c r="B21" i="2"/>
  <c r="J3" i="4" l="1"/>
  <c r="I5" i="4"/>
  <c r="I6" i="4"/>
  <c r="I7" i="4"/>
  <c r="I9" i="4"/>
  <c r="I8" i="4"/>
  <c r="I10" i="4"/>
  <c r="I11" i="4"/>
  <c r="I12" i="4"/>
  <c r="I13" i="4"/>
  <c r="K3" i="4" l="1"/>
  <c r="J5" i="4"/>
  <c r="J6" i="4"/>
  <c r="J7" i="4"/>
  <c r="J9" i="4"/>
  <c r="J8" i="4"/>
  <c r="J10" i="4"/>
  <c r="J11" i="4"/>
  <c r="J12" i="4"/>
  <c r="J13" i="4"/>
  <c r="L3" i="4" l="1"/>
  <c r="K5" i="4"/>
  <c r="K6" i="4"/>
  <c r="K7" i="4"/>
  <c r="K8" i="4"/>
  <c r="K9" i="4"/>
  <c r="K10" i="4"/>
  <c r="K11" i="4"/>
  <c r="K12" i="4"/>
  <c r="K13" i="4"/>
  <c r="M3" i="4" l="1"/>
  <c r="L5" i="4"/>
  <c r="L6" i="4"/>
  <c r="L7" i="4"/>
  <c r="L8" i="4"/>
  <c r="L9" i="4"/>
  <c r="L10" i="4"/>
  <c r="L11" i="4"/>
  <c r="L12" i="4"/>
  <c r="L13" i="4"/>
  <c r="N3" i="4" l="1"/>
  <c r="M5" i="4"/>
  <c r="M6" i="4"/>
  <c r="M7" i="4"/>
  <c r="M8" i="4"/>
  <c r="M9" i="4"/>
  <c r="M10" i="4"/>
  <c r="M11" i="4"/>
  <c r="M12" i="4"/>
  <c r="M13" i="4"/>
  <c r="N5" i="4" l="1"/>
  <c r="O3" i="4"/>
  <c r="N6" i="4"/>
  <c r="N7" i="4"/>
  <c r="N8" i="4"/>
  <c r="N9" i="4"/>
  <c r="N10" i="4"/>
  <c r="N11" i="4"/>
  <c r="N12" i="4"/>
  <c r="N13" i="4"/>
  <c r="P3" i="4" l="1"/>
  <c r="O6" i="4"/>
  <c r="O7" i="4"/>
  <c r="O8" i="4"/>
  <c r="O9" i="4"/>
  <c r="O10" i="4"/>
  <c r="O11" i="4"/>
  <c r="O12" i="4"/>
  <c r="O13" i="4"/>
  <c r="O5" i="4"/>
  <c r="Q3" i="4" l="1"/>
  <c r="P6" i="4"/>
  <c r="P7" i="4"/>
  <c r="P8" i="4"/>
  <c r="P9" i="4"/>
  <c r="P10" i="4"/>
  <c r="P11" i="4"/>
  <c r="P12" i="4"/>
  <c r="P13" i="4"/>
  <c r="P5" i="4"/>
  <c r="R3" i="4" l="1"/>
  <c r="Q6" i="4"/>
  <c r="Q7" i="4"/>
  <c r="Q8" i="4"/>
  <c r="Q9" i="4"/>
  <c r="Q10" i="4"/>
  <c r="Q11" i="4"/>
  <c r="Q12" i="4"/>
  <c r="Q13" i="4"/>
  <c r="Q5" i="4"/>
  <c r="S3" i="4" l="1"/>
  <c r="R6" i="4"/>
  <c r="R7" i="4"/>
  <c r="R8" i="4"/>
  <c r="R9" i="4"/>
  <c r="R10" i="4"/>
  <c r="R11" i="4"/>
  <c r="R12" i="4"/>
  <c r="R13" i="4"/>
  <c r="R5" i="4"/>
  <c r="T3" i="4" l="1"/>
  <c r="S6" i="4"/>
  <c r="S7" i="4"/>
  <c r="S8" i="4"/>
  <c r="S9" i="4"/>
  <c r="S10" i="4"/>
  <c r="S11" i="4"/>
  <c r="S12" i="4"/>
  <c r="S13" i="4"/>
  <c r="S5" i="4"/>
  <c r="U3" i="4" l="1"/>
  <c r="T6" i="4"/>
  <c r="T7" i="4"/>
  <c r="T8" i="4"/>
  <c r="T9" i="4"/>
  <c r="T10" i="4"/>
  <c r="T11" i="4"/>
  <c r="T12" i="4"/>
  <c r="T13" i="4"/>
  <c r="T5" i="4"/>
  <c r="V3" i="4" l="1"/>
  <c r="U5" i="4"/>
  <c r="U6" i="4"/>
  <c r="U7" i="4"/>
  <c r="U8" i="4"/>
  <c r="U9" i="4"/>
  <c r="U10" i="4"/>
  <c r="U11" i="4"/>
  <c r="U12" i="4"/>
  <c r="U13" i="4"/>
  <c r="W3" i="4" l="1"/>
  <c r="V5" i="4"/>
  <c r="V6" i="4"/>
  <c r="V7" i="4"/>
  <c r="V8" i="4"/>
  <c r="V9" i="4"/>
  <c r="V10" i="4"/>
  <c r="V11" i="4"/>
  <c r="V12" i="4"/>
  <c r="V13" i="4"/>
  <c r="X3" i="4" l="1"/>
  <c r="W5" i="4"/>
  <c r="W6" i="4"/>
  <c r="W7" i="4"/>
  <c r="W8" i="4"/>
  <c r="W9" i="4"/>
  <c r="W10" i="4"/>
  <c r="W11" i="4"/>
  <c r="W12" i="4"/>
  <c r="W13" i="4"/>
  <c r="Y3" i="4" l="1"/>
  <c r="X5" i="4"/>
  <c r="X6" i="4"/>
  <c r="X7" i="4"/>
  <c r="X8" i="4"/>
  <c r="X9" i="4"/>
  <c r="X10" i="4"/>
  <c r="X11" i="4"/>
  <c r="X12" i="4"/>
  <c r="X13" i="4"/>
  <c r="Z3" i="4" l="1"/>
  <c r="Y5" i="4"/>
  <c r="Y6" i="4"/>
  <c r="Y7" i="4"/>
  <c r="Y8" i="4"/>
  <c r="Y9" i="4"/>
  <c r="Y10" i="4"/>
  <c r="Y11" i="4"/>
  <c r="Y12" i="4"/>
  <c r="Y13" i="4"/>
  <c r="AA3" i="4" l="1"/>
  <c r="Z5" i="4"/>
  <c r="Z7" i="4"/>
  <c r="Z6" i="4"/>
  <c r="Z8" i="4"/>
  <c r="Z9" i="4"/>
  <c r="Z10" i="4"/>
  <c r="Z11" i="4"/>
  <c r="Z12" i="4"/>
  <c r="Z13" i="4"/>
  <c r="AB3" i="4" l="1"/>
  <c r="AA5" i="4"/>
  <c r="AA7" i="4"/>
  <c r="AA6" i="4"/>
  <c r="AA8" i="4"/>
  <c r="AA9" i="4"/>
  <c r="AA10" i="4"/>
  <c r="AA11" i="4"/>
  <c r="AA12" i="4"/>
  <c r="AA13" i="4"/>
  <c r="AC3" i="4" l="1"/>
  <c r="AB5" i="4"/>
  <c r="AB7" i="4"/>
  <c r="AB6" i="4"/>
  <c r="AB8" i="4"/>
  <c r="AB9" i="4"/>
  <c r="AB10" i="4"/>
  <c r="AB11" i="4"/>
  <c r="AB12" i="4"/>
  <c r="AB13" i="4"/>
  <c r="AD3" i="4" l="1"/>
  <c r="AC5" i="4"/>
  <c r="AC7" i="4"/>
  <c r="AC6" i="4"/>
  <c r="AC8" i="4"/>
  <c r="AC9" i="4"/>
  <c r="AC10" i="4"/>
  <c r="AC11" i="4"/>
  <c r="AC12" i="4"/>
  <c r="AC13" i="4"/>
  <c r="AE3" i="4" l="1"/>
  <c r="AD5" i="4"/>
  <c r="AD7" i="4"/>
  <c r="AD6" i="4"/>
  <c r="AD8" i="4"/>
  <c r="AD9" i="4"/>
  <c r="AD10" i="4"/>
  <c r="AD11" i="4"/>
  <c r="AD12" i="4"/>
  <c r="AD13" i="4"/>
  <c r="AE5" i="4" l="1"/>
  <c r="AE7" i="4"/>
  <c r="AE6" i="4"/>
  <c r="AE8" i="4"/>
  <c r="AE9" i="4"/>
  <c r="AE10" i="4"/>
  <c r="AE11" i="4"/>
  <c r="AE12" i="4"/>
  <c r="AE13" i="4"/>
</calcChain>
</file>

<file path=xl/sharedStrings.xml><?xml version="1.0" encoding="utf-8"?>
<sst xmlns="http://schemas.openxmlformats.org/spreadsheetml/2006/main" count="146" uniqueCount="127">
  <si>
    <t>Registro de riesgos – Proyecto CRM-DA</t>
  </si>
  <si>
    <t>Celdas en azul = datos de entrada (probabilidad 1-5, impacto 1-5). Puntaje y nivel se calculan solos. Niveles: Bajo 1-4 · Medio 5-9 · Alto 10-14 · Crítico 15-25.</t>
  </si>
  <si>
    <t>ID</t>
  </si>
  <si>
    <t>Riesgo</t>
  </si>
  <si>
    <t>Categoría</t>
  </si>
  <si>
    <t>Tipo</t>
  </si>
  <si>
    <t>Probabilidad (1-5)</t>
  </si>
  <si>
    <t>Impacto (1-5)</t>
  </si>
  <si>
    <t>Puntaje (P×I)</t>
  </si>
  <si>
    <t>Nivel</t>
  </si>
  <si>
    <t>Respuesta</t>
  </si>
  <si>
    <t>Responsable</t>
  </si>
  <si>
    <t>Revisión</t>
  </si>
  <si>
    <t>R1</t>
  </si>
  <si>
    <t>Baja adopción por resistencia al cambio</t>
  </si>
  <si>
    <t>Organizacional</t>
  </si>
  <si>
    <t>Amenaza</t>
  </si>
  <si>
    <t>Mitigar: campeones comerciales, capacitación práctica, incentivos por uso</t>
  </si>
  <si>
    <t>PM</t>
  </si>
  <si>
    <t>R2</t>
  </si>
  <si>
    <t>Datos de clientes sucios o incompletos</t>
  </si>
  <si>
    <t>Datos</t>
  </si>
  <si>
    <t>Mitigar: depuración temprana, reglas de validación</t>
  </si>
  <si>
    <t>Líder de datos</t>
  </si>
  <si>
    <t>R3</t>
  </si>
  <si>
    <t>Integración con ERP y correo más compleja de lo previsto</t>
  </si>
  <si>
    <t>Técnico</t>
  </si>
  <si>
    <t>Mitigar: prueba de concepto en semana 2; aceptar: sincronización por lotes</t>
  </si>
  <si>
    <t>Consultor</t>
  </si>
  <si>
    <t>R4</t>
  </si>
  <si>
    <t>Retraso del proveedor del CRM</t>
  </si>
  <si>
    <t>Contractual</t>
  </si>
  <si>
    <t>Transferir: SLA y penalidad por retraso</t>
  </si>
  <si>
    <t>R5</t>
  </si>
  <si>
    <t>Sobrecostos por cambios de alcance</t>
  </si>
  <si>
    <t>Alcance/costo</t>
  </si>
  <si>
    <t>Evitar: comité de cambios</t>
  </si>
  <si>
    <t>R6</t>
  </si>
  <si>
    <t>Rotación de usuarios clave</t>
  </si>
  <si>
    <t>Recursos</t>
  </si>
  <si>
    <t>Mitigar: respaldo y documentación de roles</t>
  </si>
  <si>
    <t>Patrocinador</t>
  </si>
  <si>
    <t>R7 (+)</t>
  </si>
  <si>
    <t>Descuento por contrato anual con el proveedor</t>
  </si>
  <si>
    <t>Adquisiciones</t>
  </si>
  <si>
    <t>Oportunidad</t>
  </si>
  <si>
    <t>Aprovechar: negociar en la selección</t>
  </si>
  <si>
    <t>R8</t>
  </si>
  <si>
    <t>Subutilización del CRM: hasta 40 % de funcionalidades sin uso</t>
  </si>
  <si>
    <t>Valor/beneficio</t>
  </si>
  <si>
    <t>Mitigar: RFP formal, evaluación multidisciplinaria, necesidades claras, roadmap de habilitación, comparativa de proveedores</t>
  </si>
  <si>
    <t>Gerente Comercial y PM</t>
  </si>
  <si>
    <t>R8 res.</t>
  </si>
  <si>
    <t>R8 residual tras aplicar las medidas</t>
  </si>
  <si>
    <t>Residual</t>
  </si>
  <si>
    <t>Seguimiento del uso de funcionalidades (alerta si &lt; 70 % al mes 3)</t>
  </si>
  <si>
    <t>Escalas: probabilidad 1 muy baja – 5 muy alta; impacto 1 mínimo – 5 crítico. R8: probabilidad baja e impacto "hasta 40 % de funcionalidades sin uso" según el enunciado del grupo.</t>
  </si>
  <si>
    <t>Mapa de calor de riesgos – Probabilidad × Impacto</t>
  </si>
  <si>
    <t>Los IDs se ubican solos según los valores de la hoja Riesgos (cambie P o I allá y el mapa se actualiza).</t>
  </si>
  <si>
    <t>Prob. ↓ / Impacto →</t>
  </si>
  <si>
    <t>1 Mínimo</t>
  </si>
  <si>
    <t>2 Menor</t>
  </si>
  <si>
    <t>3 Moderado</t>
  </si>
  <si>
    <t>4 Mayor</t>
  </si>
  <si>
    <t>5 Crítico</t>
  </si>
  <si>
    <t>P (auxiliar)</t>
  </si>
  <si>
    <t>5 Muy alta</t>
  </si>
  <si>
    <t>4 Alta</t>
  </si>
  <si>
    <t>3 Media</t>
  </si>
  <si>
    <t>2 Baja</t>
  </si>
  <si>
    <t>1 Muy baja</t>
  </si>
  <si>
    <t>Leyenda</t>
  </si>
  <si>
    <t>Bajo (1-4)</t>
  </si>
  <si>
    <t>Medio (5-9)</t>
  </si>
  <si>
    <t>Alto (10-14)</t>
  </si>
  <si>
    <t>Crítico (15-25)</t>
  </si>
  <si>
    <t>(+) oportunidad · res. = riesgo residual. El color de cada celda es fijo según P×I de la posición.</t>
  </si>
  <si>
    <t>Resumen por nivel</t>
  </si>
  <si>
    <t>Crítico</t>
  </si>
  <si>
    <t>Alto</t>
  </si>
  <si>
    <t>Medio</t>
  </si>
  <si>
    <t>Bajo</t>
  </si>
  <si>
    <t>Cronograma y diagrama de Gantt semanal</t>
  </si>
  <si>
    <t>Azul = fechas editables. Duración y barras del Gantt se calculan solas. Semana 1 inicia el lunes 12-oct-2026.</t>
  </si>
  <si>
    <t>Fase</t>
  </si>
  <si>
    <t>Inicio</t>
  </si>
  <si>
    <t>Fin</t>
  </si>
  <si>
    <t>Días</t>
  </si>
  <si>
    <t>Semanas</t>
  </si>
  <si>
    <t>Ruta crítica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</si>
  <si>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</si>
  <si>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</si>
  <si>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</si>
  <si>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</si>
  <si>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</si>
  <si>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</si>
  <si>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</si>
  <si>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</si>
  <si>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</si>
  <si>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</si>
  <si>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</si>
  <si>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</si>
  <si>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</si>
  <si>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</si>
  <si>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</si>
  <si>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</si>
  <si>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</si>
  <si>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</si>
  <si>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</si>
  <si>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</si>
  <si>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</si>
  <si>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</si>
  <si>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</si>
  <si>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</si>
  <si>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Inicio (charter)</t>
  </si>
  <si>
    <t>Sí</t>
  </si>
  <si>
    <t>Análisis y diseño</t>
  </si>
  <si>
    <t>Selección de proveedor (RFP)</t>
  </si>
  <si>
    <t>No</t>
  </si>
  <si>
    <t>Configuración</t>
  </si>
  <si>
    <t>Integraciones</t>
  </si>
  <si>
    <t>Depuración y migración de datos</t>
  </si>
  <si>
    <t>Pruebas y UAT</t>
  </si>
  <si>
    <t>Capacitación</t>
  </si>
  <si>
    <t>Go-live y soporte inicial</t>
  </si>
  <si>
    <t>Duración total del proyecto (semanas)</t>
  </si>
  <si>
    <t>Rojo = actividad en ruta crítica · Azul = fuera de ruta crítica. Reserva de tiempo sugerida: 10 % (2 semanas).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</si>
</sst>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dd\-mmm"/>
    <numFmt numFmtId="168" formatCode="dd\-mmm\-yyyy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8"/>
      <color rgb="FF7F7F7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8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E699"/>
        <bgColor rgb="FFFFCC99"/>
      </patternFill>
    </fill>
    <fill>
      <patternFill patternType="solid">
        <fgColor rgb="FFF4A04C"/>
        <bgColor rgb="FFFFCC00"/>
      </patternFill>
    </fill>
    <fill>
      <patternFill patternType="solid">
        <fgColor rgb="FFF8696B"/>
        <bgColor rgb="FFFF6600"/>
      </patternFill>
    </fill>
    <fill>
      <patternFill patternType="solid">
        <fgColor rgb="FFA9D08E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7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0" borderId="1" xfId="0" applyFont="1" applyBorder="1"/>
    <xf numFmtId="167" fontId="7" fillId="0" borderId="0" xfId="0" applyNumberFormat="1" applyFont="1" applyAlignment="1">
      <alignment horizontal="center" vertical="center" wrapText="1"/>
    </xf>
    <xf numFmtId="168" fontId="5" fillId="0" borderId="1" xfId="0" applyNumberFormat="1" applyFont="1" applyBorder="1"/>
    <xf numFmtId="0" fontId="10" fillId="0" borderId="1" xfId="0" applyFont="1" applyBorder="1"/>
  </cellXfs>
  <cellStyles count="1">
    <cellStyle name="Normal" xfId="0" builtinId="0"/>
  </cellStyles>
  <dxfs count="7">
    <dxf>
      <fill>
        <patternFill>
          <bgColor rgb="FF2E75B6"/>
        </patternFill>
      </fill>
    </dxf>
    <dxf>
      <fill>
        <patternFill>
          <bgColor rgb="FFC00000"/>
        </patternFill>
      </fill>
    </dxf>
    <dxf>
      <fill>
        <patternFill>
          <bgColor rgb="FF9BC2E6"/>
        </patternFill>
      </fill>
    </dxf>
    <dxf>
      <fill>
        <patternFill>
          <bgColor rgb="FFA9D08E"/>
        </patternFill>
      </fill>
    </dxf>
    <dxf>
      <fill>
        <patternFill>
          <bgColor rgb="FFFFE699"/>
        </patternFill>
      </fill>
    </dxf>
    <dxf>
      <fill>
        <patternFill>
          <bgColor rgb="FFF4A04C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8696B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08E"/>
      <rgbColor rgb="FFFFE699"/>
      <rgbColor rgb="FF9BC2E6"/>
      <rgbColor rgb="FFFF99CC"/>
      <rgbColor rgb="FFCC99FF"/>
      <rgbColor rgb="FFFFCC99"/>
      <rgbColor rgb="FF2E75B6"/>
      <rgbColor rgb="FF33CCCC"/>
      <rgbColor rgb="FF99CC00"/>
      <rgbColor rgb="FFFFCC00"/>
      <rgbColor rgb="FFF4A04C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7109375" defaultRowHeight="15" x14ac:dyDescent="0.25"/>
  <cols>
    <col min="1" max="1" width="9" customWidth="1"/>
    <col min="2" max="2" width="44" customWidth="1"/>
    <col min="3" max="3" width="16" customWidth="1"/>
    <col min="4" max="5" width="13" customWidth="1"/>
    <col min="6" max="7" width="11" customWidth="1"/>
    <col min="8" max="8" width="13" customWidth="1"/>
    <col min="9" max="9" width="52" customWidth="1"/>
    <col min="10" max="10" width="22" customWidth="1"/>
    <col min="11" max="11" width="11" customWidth="1"/>
  </cols>
  <sheetData>
    <row r="1" spans="1:11" ht="18" x14ac:dyDescent="0.25">
      <c r="A1" s="1" t="s">
        <v>0</v>
      </c>
    </row>
    <row r="2" spans="1:11" x14ac:dyDescent="0.25">
      <c r="A2" s="2" t="s">
        <v>1</v>
      </c>
    </row>
    <row r="4" spans="1:11" ht="31.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25.5" x14ac:dyDescent="0.25">
      <c r="A5" s="4" t="s">
        <v>13</v>
      </c>
      <c r="B5" s="5" t="s">
        <v>14</v>
      </c>
      <c r="C5" s="5" t="s">
        <v>15</v>
      </c>
      <c r="D5" s="4" t="s">
        <v>16</v>
      </c>
      <c r="E5" s="6">
        <v>4</v>
      </c>
      <c r="F5" s="6">
        <v>5</v>
      </c>
      <c r="G5" s="4">
        <f t="shared" ref="G5:G13" si="0">E5*F5</f>
        <v>20</v>
      </c>
      <c r="H5" s="4" t="str">
        <f t="shared" ref="H5:H13" si="1">IF(D5="Oportunidad","Oportunidad",IF(G5&gt;=15,"Crítico",IF(G5&gt;=10,"Alto",IF(G5&gt;=5,"Medio","Bajo"))))</f>
        <v>Crítico</v>
      </c>
      <c r="I5" s="5" t="s">
        <v>17</v>
      </c>
      <c r="J5" s="5" t="s">
        <v>18</v>
      </c>
      <c r="K5" s="4" t="str">
        <f t="shared" ref="K5:K13" si="2">IF(H5="Crítico","Semanal",IF(H5="Alto","Quincenal","Mensual"))</f>
        <v>Semanal</v>
      </c>
    </row>
    <row r="6" spans="1:11" x14ac:dyDescent="0.25">
      <c r="A6" s="4" t="s">
        <v>19</v>
      </c>
      <c r="B6" s="5" t="s">
        <v>20</v>
      </c>
      <c r="C6" s="5" t="s">
        <v>21</v>
      </c>
      <c r="D6" s="4" t="s">
        <v>16</v>
      </c>
      <c r="E6" s="6">
        <v>4</v>
      </c>
      <c r="F6" s="6">
        <v>4</v>
      </c>
      <c r="G6" s="4">
        <f t="shared" si="0"/>
        <v>16</v>
      </c>
      <c r="H6" s="4" t="str">
        <f t="shared" si="1"/>
        <v>Crítico</v>
      </c>
      <c r="I6" s="5" t="s">
        <v>22</v>
      </c>
      <c r="J6" s="5" t="s">
        <v>23</v>
      </c>
      <c r="K6" s="4" t="str">
        <f t="shared" si="2"/>
        <v>Semanal</v>
      </c>
    </row>
    <row r="7" spans="1:11" ht="25.5" x14ac:dyDescent="0.25">
      <c r="A7" s="4" t="s">
        <v>24</v>
      </c>
      <c r="B7" s="5" t="s">
        <v>25</v>
      </c>
      <c r="C7" s="5" t="s">
        <v>26</v>
      </c>
      <c r="D7" s="4" t="s">
        <v>16</v>
      </c>
      <c r="E7" s="6">
        <v>3</v>
      </c>
      <c r="F7" s="6">
        <v>4</v>
      </c>
      <c r="G7" s="4">
        <f t="shared" si="0"/>
        <v>12</v>
      </c>
      <c r="H7" s="4" t="str">
        <f t="shared" si="1"/>
        <v>Alto</v>
      </c>
      <c r="I7" s="5" t="s">
        <v>27</v>
      </c>
      <c r="J7" s="5" t="s">
        <v>28</v>
      </c>
      <c r="K7" s="4" t="str">
        <f t="shared" si="2"/>
        <v>Quincenal</v>
      </c>
    </row>
    <row r="8" spans="1:11" x14ac:dyDescent="0.25">
      <c r="A8" s="4" t="s">
        <v>29</v>
      </c>
      <c r="B8" s="5" t="s">
        <v>30</v>
      </c>
      <c r="C8" s="5" t="s">
        <v>31</v>
      </c>
      <c r="D8" s="4" t="s">
        <v>16</v>
      </c>
      <c r="E8" s="6">
        <v>3</v>
      </c>
      <c r="F8" s="6">
        <v>4</v>
      </c>
      <c r="G8" s="4">
        <f t="shared" si="0"/>
        <v>12</v>
      </c>
      <c r="H8" s="4" t="str">
        <f t="shared" si="1"/>
        <v>Alto</v>
      </c>
      <c r="I8" s="5" t="s">
        <v>32</v>
      </c>
      <c r="J8" s="5" t="s">
        <v>18</v>
      </c>
      <c r="K8" s="4" t="str">
        <f t="shared" si="2"/>
        <v>Quincenal</v>
      </c>
    </row>
    <row r="9" spans="1:11" x14ac:dyDescent="0.25">
      <c r="A9" s="4" t="s">
        <v>33</v>
      </c>
      <c r="B9" s="5" t="s">
        <v>34</v>
      </c>
      <c r="C9" s="5" t="s">
        <v>35</v>
      </c>
      <c r="D9" s="4" t="s">
        <v>16</v>
      </c>
      <c r="E9" s="6">
        <v>3</v>
      </c>
      <c r="F9" s="6">
        <v>3</v>
      </c>
      <c r="G9" s="4">
        <f t="shared" si="0"/>
        <v>9</v>
      </c>
      <c r="H9" s="4" t="str">
        <f t="shared" si="1"/>
        <v>Medio</v>
      </c>
      <c r="I9" s="5" t="s">
        <v>36</v>
      </c>
      <c r="J9" s="5" t="s">
        <v>18</v>
      </c>
      <c r="K9" s="4" t="str">
        <f t="shared" si="2"/>
        <v>Mensual</v>
      </c>
    </row>
    <row r="10" spans="1:11" x14ac:dyDescent="0.25">
      <c r="A10" s="4" t="s">
        <v>37</v>
      </c>
      <c r="B10" s="5" t="s">
        <v>38</v>
      </c>
      <c r="C10" s="5" t="s">
        <v>39</v>
      </c>
      <c r="D10" s="4" t="s">
        <v>16</v>
      </c>
      <c r="E10" s="6">
        <v>2</v>
      </c>
      <c r="F10" s="6">
        <v>4</v>
      </c>
      <c r="G10" s="4">
        <f t="shared" si="0"/>
        <v>8</v>
      </c>
      <c r="H10" s="4" t="str">
        <f t="shared" si="1"/>
        <v>Medio</v>
      </c>
      <c r="I10" s="5" t="s">
        <v>40</v>
      </c>
      <c r="J10" s="5" t="s">
        <v>41</v>
      </c>
      <c r="K10" s="4" t="str">
        <f t="shared" si="2"/>
        <v>Mensual</v>
      </c>
    </row>
    <row r="11" spans="1:11" x14ac:dyDescent="0.25">
      <c r="A11" s="4" t="s">
        <v>42</v>
      </c>
      <c r="B11" s="5" t="s">
        <v>43</v>
      </c>
      <c r="C11" s="5" t="s">
        <v>44</v>
      </c>
      <c r="D11" s="4" t="s">
        <v>45</v>
      </c>
      <c r="E11" s="6">
        <v>3</v>
      </c>
      <c r="F11" s="6">
        <v>3</v>
      </c>
      <c r="G11" s="4">
        <f t="shared" si="0"/>
        <v>9</v>
      </c>
      <c r="H11" s="4" t="str">
        <f t="shared" si="1"/>
        <v>Oportunidad</v>
      </c>
      <c r="I11" s="5" t="s">
        <v>46</v>
      </c>
      <c r="J11" s="5" t="s">
        <v>18</v>
      </c>
      <c r="K11" s="4" t="str">
        <f t="shared" si="2"/>
        <v>Mensual</v>
      </c>
    </row>
    <row r="12" spans="1:11" ht="38.25" x14ac:dyDescent="0.25">
      <c r="A12" s="4" t="s">
        <v>47</v>
      </c>
      <c r="B12" s="5" t="s">
        <v>48</v>
      </c>
      <c r="C12" s="5" t="s">
        <v>49</v>
      </c>
      <c r="D12" s="4" t="s">
        <v>16</v>
      </c>
      <c r="E12" s="6">
        <v>2</v>
      </c>
      <c r="F12" s="6">
        <v>4</v>
      </c>
      <c r="G12" s="4">
        <f t="shared" si="0"/>
        <v>8</v>
      </c>
      <c r="H12" s="4" t="str">
        <f t="shared" si="1"/>
        <v>Medio</v>
      </c>
      <c r="I12" s="5" t="s">
        <v>50</v>
      </c>
      <c r="J12" s="5" t="s">
        <v>51</v>
      </c>
      <c r="K12" s="4" t="str">
        <f t="shared" si="2"/>
        <v>Mensual</v>
      </c>
    </row>
    <row r="13" spans="1:11" ht="25.5" x14ac:dyDescent="0.25">
      <c r="A13" s="4" t="s">
        <v>52</v>
      </c>
      <c r="B13" s="5" t="s">
        <v>53</v>
      </c>
      <c r="C13" s="5" t="s">
        <v>49</v>
      </c>
      <c r="D13" s="4" t="s">
        <v>54</v>
      </c>
      <c r="E13" s="6">
        <v>1</v>
      </c>
      <c r="F13" s="6">
        <v>3</v>
      </c>
      <c r="G13" s="4">
        <f t="shared" si="0"/>
        <v>3</v>
      </c>
      <c r="H13" s="4" t="str">
        <f t="shared" si="1"/>
        <v>Bajo</v>
      </c>
      <c r="I13" s="5" t="s">
        <v>55</v>
      </c>
      <c r="J13" s="5" t="s">
        <v>51</v>
      </c>
      <c r="K13" s="4" t="str">
        <f t="shared" si="2"/>
        <v>Mensual</v>
      </c>
    </row>
    <row r="15" spans="1:11" x14ac:dyDescent="0.25">
      <c r="A15" s="7" t="s">
        <v>56</v>
      </c>
    </row>
  </sheetData>
  <conditionalFormatting sqref="H5:H13">
    <cfRule type="expression" dxfId="6" priority="2">
      <formula>$H5="Crítico"</formula>
    </cfRule>
    <cfRule type="expression" dxfId="5" priority="3">
      <formula>$H5="Alto"</formula>
    </cfRule>
    <cfRule type="expression" dxfId="4" priority="4">
      <formula>$H5="Medio"</formula>
    </cfRule>
    <cfRule type="expression" dxfId="3" priority="5">
      <formula>$H5="Bajo"</formula>
    </cfRule>
    <cfRule type="expression" dxfId="2" priority="6">
      <formula>$H5="Oportunidad"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Normal="100" workbookViewId="0">
      <selection activeCell="A16" sqref="A16:XFD16"/>
    </sheetView>
  </sheetViews>
  <sheetFormatPr baseColWidth="10" defaultColWidth="8.7109375" defaultRowHeight="15" x14ac:dyDescent="0.25"/>
  <cols>
    <col min="1" max="6" width="20" customWidth="1"/>
    <col min="8" max="8" width="12" hidden="1" customWidth="1"/>
  </cols>
  <sheetData>
    <row r="1" spans="1:8" ht="18" x14ac:dyDescent="0.25">
      <c r="A1" s="1" t="s">
        <v>57</v>
      </c>
    </row>
    <row r="2" spans="1:8" hidden="1" x14ac:dyDescent="0.25">
      <c r="A2" s="2" t="s">
        <v>58</v>
      </c>
    </row>
    <row r="4" spans="1:8" x14ac:dyDescent="0.25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  <c r="H4" s="8" t="s">
        <v>65</v>
      </c>
    </row>
    <row r="5" spans="1:8" ht="48" customHeight="1" x14ac:dyDescent="0.25">
      <c r="A5" s="9" t="s">
        <v>66</v>
      </c>
      <c r="B5" s="10" t="str">
        <f>TRIM(IF(AND(Riesgos!$E$5=$H5,Riesgos!$F$5=1),Riesgos!$A$5&amp;" ","")&amp;IF(AND(Riesgos!$E$6=$H5,Riesgos!$F$6=1),Riesgos!$A$6&amp;" ","")&amp;IF(AND(Riesgos!$E$7=$H5,Riesgos!$F$7=1),Riesgos!$A$7&amp;" ","")&amp;IF(AND(Riesgos!$E$8=$H5,Riesgos!$F$8=1),Riesgos!$A$8&amp;" ","")&amp;IF(AND(Riesgos!$E$9=$H5,Riesgos!$F$9=1),Riesgos!$A$9&amp;" ","")&amp;IF(AND(Riesgos!$E$10=$H5,Riesgos!$F$10=1),Riesgos!$A$10&amp;" ","")&amp;IF(AND(Riesgos!$E$11=$H5,Riesgos!$F$11=1),Riesgos!$A$11&amp;" ","")&amp;IF(AND(Riesgos!$E$12=$H5,Riesgos!$F$12=1),Riesgos!$A$12&amp;" ","")&amp;IF(AND(Riesgos!$E$13=$H5,Riesgos!$F$13=1),Riesgos!$A$13&amp;" ",""))</f>
        <v/>
      </c>
      <c r="C5" s="11" t="str">
        <f>TRIM(IF(AND(Riesgos!$E$5=$H5,Riesgos!$F$5=2),Riesgos!$A$5&amp;" ","")&amp;IF(AND(Riesgos!$E$6=$H5,Riesgos!$F$6=2),Riesgos!$A$6&amp;" ","")&amp;IF(AND(Riesgos!$E$7=$H5,Riesgos!$F$7=2),Riesgos!$A$7&amp;" ","")&amp;IF(AND(Riesgos!$E$8=$H5,Riesgos!$F$8=2),Riesgos!$A$8&amp;" ","")&amp;IF(AND(Riesgos!$E$9=$H5,Riesgos!$F$9=2),Riesgos!$A$9&amp;" ","")&amp;IF(AND(Riesgos!$E$10=$H5,Riesgos!$F$10=2),Riesgos!$A$10&amp;" ","")&amp;IF(AND(Riesgos!$E$11=$H5,Riesgos!$F$11=2),Riesgos!$A$11&amp;" ","")&amp;IF(AND(Riesgos!$E$12=$H5,Riesgos!$F$12=2),Riesgos!$A$12&amp;" ","")&amp;IF(AND(Riesgos!$E$13=$H5,Riesgos!$F$13=2),Riesgos!$A$13&amp;" ",""))</f>
        <v/>
      </c>
      <c r="D5" s="12" t="str">
        <f>TRIM(IF(AND(Riesgos!$E$5=$H5,Riesgos!$F$5=3),Riesgos!$A$5&amp;" ","")&amp;IF(AND(Riesgos!$E$6=$H5,Riesgos!$F$6=3),Riesgos!$A$6&amp;" ","")&amp;IF(AND(Riesgos!$E$7=$H5,Riesgos!$F$7=3),Riesgos!$A$7&amp;" ","")&amp;IF(AND(Riesgos!$E$8=$H5,Riesgos!$F$8=3),Riesgos!$A$8&amp;" ","")&amp;IF(AND(Riesgos!$E$9=$H5,Riesgos!$F$9=3),Riesgos!$A$9&amp;" ","")&amp;IF(AND(Riesgos!$E$10=$H5,Riesgos!$F$10=3),Riesgos!$A$10&amp;" ","")&amp;IF(AND(Riesgos!$E$11=$H5,Riesgos!$F$11=3),Riesgos!$A$11&amp;" ","")&amp;IF(AND(Riesgos!$E$12=$H5,Riesgos!$F$12=3),Riesgos!$A$12&amp;" ","")&amp;IF(AND(Riesgos!$E$13=$H5,Riesgos!$F$13=3),Riesgos!$A$13&amp;" ",""))</f>
        <v/>
      </c>
      <c r="E5" s="12" t="str">
        <f>TRIM(IF(AND(Riesgos!$E$5=$H5,Riesgos!$F$5=4),Riesgos!$A$5&amp;" ","")&amp;IF(AND(Riesgos!$E$6=$H5,Riesgos!$F$6=4),Riesgos!$A$6&amp;" ","")&amp;IF(AND(Riesgos!$E$7=$H5,Riesgos!$F$7=4),Riesgos!$A$7&amp;" ","")&amp;IF(AND(Riesgos!$E$8=$H5,Riesgos!$F$8=4),Riesgos!$A$8&amp;" ","")&amp;IF(AND(Riesgos!$E$9=$H5,Riesgos!$F$9=4),Riesgos!$A$9&amp;" ","")&amp;IF(AND(Riesgos!$E$10=$H5,Riesgos!$F$10=4),Riesgos!$A$10&amp;" ","")&amp;IF(AND(Riesgos!$E$11=$H5,Riesgos!$F$11=4),Riesgos!$A$11&amp;" ","")&amp;IF(AND(Riesgos!$E$12=$H5,Riesgos!$F$12=4),Riesgos!$A$12&amp;" ","")&amp;IF(AND(Riesgos!$E$13=$H5,Riesgos!$F$13=4),Riesgos!$A$13&amp;" ",""))</f>
        <v/>
      </c>
      <c r="F5" s="12" t="str">
        <f>TRIM(IF(AND(Riesgos!$E$5=$H5,Riesgos!$F$5=5),Riesgos!$A$5&amp;" ","")&amp;IF(AND(Riesgos!$E$6=$H5,Riesgos!$F$6=5),Riesgos!$A$6&amp;" ","")&amp;IF(AND(Riesgos!$E$7=$H5,Riesgos!$F$7=5),Riesgos!$A$7&amp;" ","")&amp;IF(AND(Riesgos!$E$8=$H5,Riesgos!$F$8=5),Riesgos!$A$8&amp;" ","")&amp;IF(AND(Riesgos!$E$9=$H5,Riesgos!$F$9=5),Riesgos!$A$9&amp;" ","")&amp;IF(AND(Riesgos!$E$10=$H5,Riesgos!$F$10=5),Riesgos!$A$10&amp;" ","")&amp;IF(AND(Riesgos!$E$11=$H5,Riesgos!$F$11=5),Riesgos!$A$11&amp;" ","")&amp;IF(AND(Riesgos!$E$12=$H5,Riesgos!$F$12=5),Riesgos!$A$12&amp;" ","")&amp;IF(AND(Riesgos!$E$13=$H5,Riesgos!$F$13=5),Riesgos!$A$13&amp;" ",""))</f>
        <v/>
      </c>
      <c r="H5" s="8">
        <v>5</v>
      </c>
    </row>
    <row r="6" spans="1:8" ht="48" customHeight="1" x14ac:dyDescent="0.25">
      <c r="A6" s="9" t="s">
        <v>67</v>
      </c>
      <c r="B6" s="13" t="str">
        <f>TRIM(IF(AND(Riesgos!$E$5=$H6,Riesgos!$F$5=1),Riesgos!$A$5&amp;" ","")&amp;IF(AND(Riesgos!$E$6=$H6,Riesgos!$F$6=1),Riesgos!$A$6&amp;" ","")&amp;IF(AND(Riesgos!$E$7=$H6,Riesgos!$F$7=1),Riesgos!$A$7&amp;" ","")&amp;IF(AND(Riesgos!$E$8=$H6,Riesgos!$F$8=1),Riesgos!$A$8&amp;" ","")&amp;IF(AND(Riesgos!$E$9=$H6,Riesgos!$F$9=1),Riesgos!$A$9&amp;" ","")&amp;IF(AND(Riesgos!$E$10=$H6,Riesgos!$F$10=1),Riesgos!$A$10&amp;" ","")&amp;IF(AND(Riesgos!$E$11=$H6,Riesgos!$F$11=1),Riesgos!$A$11&amp;" ","")&amp;IF(AND(Riesgos!$E$12=$H6,Riesgos!$F$12=1),Riesgos!$A$12&amp;" ","")&amp;IF(AND(Riesgos!$E$13=$H6,Riesgos!$F$13=1),Riesgos!$A$13&amp;" ",""))</f>
        <v/>
      </c>
      <c r="C6" s="10" t="str">
        <f>TRIM(IF(AND(Riesgos!$E$5=$H6,Riesgos!$F$5=2),Riesgos!$A$5&amp;" ","")&amp;IF(AND(Riesgos!$E$6=$H6,Riesgos!$F$6=2),Riesgos!$A$6&amp;" ","")&amp;IF(AND(Riesgos!$E$7=$H6,Riesgos!$F$7=2),Riesgos!$A$7&amp;" ","")&amp;IF(AND(Riesgos!$E$8=$H6,Riesgos!$F$8=2),Riesgos!$A$8&amp;" ","")&amp;IF(AND(Riesgos!$E$9=$H6,Riesgos!$F$9=2),Riesgos!$A$9&amp;" ","")&amp;IF(AND(Riesgos!$E$10=$H6,Riesgos!$F$10=2),Riesgos!$A$10&amp;" ","")&amp;IF(AND(Riesgos!$E$11=$H6,Riesgos!$F$11=2),Riesgos!$A$11&amp;" ","")&amp;IF(AND(Riesgos!$E$12=$H6,Riesgos!$F$12=2),Riesgos!$A$12&amp;" ","")&amp;IF(AND(Riesgos!$E$13=$H6,Riesgos!$F$13=2),Riesgos!$A$13&amp;" ",""))</f>
        <v/>
      </c>
      <c r="D6" s="11" t="str">
        <f>TRIM(IF(AND(Riesgos!$E$5=$H6,Riesgos!$F$5=3),Riesgos!$A$5&amp;" ","")&amp;IF(AND(Riesgos!$E$6=$H6,Riesgos!$F$6=3),Riesgos!$A$6&amp;" ","")&amp;IF(AND(Riesgos!$E$7=$H6,Riesgos!$F$7=3),Riesgos!$A$7&amp;" ","")&amp;IF(AND(Riesgos!$E$8=$H6,Riesgos!$F$8=3),Riesgos!$A$8&amp;" ","")&amp;IF(AND(Riesgos!$E$9=$H6,Riesgos!$F$9=3),Riesgos!$A$9&amp;" ","")&amp;IF(AND(Riesgos!$E$10=$H6,Riesgos!$F$10=3),Riesgos!$A$10&amp;" ","")&amp;IF(AND(Riesgos!$E$11=$H6,Riesgos!$F$11=3),Riesgos!$A$11&amp;" ","")&amp;IF(AND(Riesgos!$E$12=$H6,Riesgos!$F$12=3),Riesgos!$A$12&amp;" ","")&amp;IF(AND(Riesgos!$E$13=$H6,Riesgos!$F$13=3),Riesgos!$A$13&amp;" ",""))</f>
        <v/>
      </c>
      <c r="E6" s="12" t="str">
        <f>TRIM(IF(AND(Riesgos!$E$5=$H6,Riesgos!$F$5=4),Riesgos!$A$5&amp;" ","")&amp;IF(AND(Riesgos!$E$6=$H6,Riesgos!$F$6=4),Riesgos!$A$6&amp;" ","")&amp;IF(AND(Riesgos!$E$7=$H6,Riesgos!$F$7=4),Riesgos!$A$7&amp;" ","")&amp;IF(AND(Riesgos!$E$8=$H6,Riesgos!$F$8=4),Riesgos!$A$8&amp;" ","")&amp;IF(AND(Riesgos!$E$9=$H6,Riesgos!$F$9=4),Riesgos!$A$9&amp;" ","")&amp;IF(AND(Riesgos!$E$10=$H6,Riesgos!$F$10=4),Riesgos!$A$10&amp;" ","")&amp;IF(AND(Riesgos!$E$11=$H6,Riesgos!$F$11=4),Riesgos!$A$11&amp;" ","")&amp;IF(AND(Riesgos!$E$12=$H6,Riesgos!$F$12=4),Riesgos!$A$12&amp;" ","")&amp;IF(AND(Riesgos!$E$13=$H6,Riesgos!$F$13=4),Riesgos!$A$13&amp;" ",""))</f>
        <v>R2</v>
      </c>
      <c r="F6" s="12" t="str">
        <f>TRIM(IF(AND(Riesgos!$E$5=$H6,Riesgos!$F$5=5),Riesgos!$A$5&amp;" ","")&amp;IF(AND(Riesgos!$E$6=$H6,Riesgos!$F$6=5),Riesgos!$A$6&amp;" ","")&amp;IF(AND(Riesgos!$E$7=$H6,Riesgos!$F$7=5),Riesgos!$A$7&amp;" ","")&amp;IF(AND(Riesgos!$E$8=$H6,Riesgos!$F$8=5),Riesgos!$A$8&amp;" ","")&amp;IF(AND(Riesgos!$E$9=$H6,Riesgos!$F$9=5),Riesgos!$A$9&amp;" ","")&amp;IF(AND(Riesgos!$E$10=$H6,Riesgos!$F$10=5),Riesgos!$A$10&amp;" ","")&amp;IF(AND(Riesgos!$E$11=$H6,Riesgos!$F$11=5),Riesgos!$A$11&amp;" ","")&amp;IF(AND(Riesgos!$E$12=$H6,Riesgos!$F$12=5),Riesgos!$A$12&amp;" ","")&amp;IF(AND(Riesgos!$E$13=$H6,Riesgos!$F$13=5),Riesgos!$A$13&amp;" ",""))</f>
        <v>R1</v>
      </c>
      <c r="H6" s="8">
        <v>4</v>
      </c>
    </row>
    <row r="7" spans="1:8" ht="48" customHeight="1" x14ac:dyDescent="0.25">
      <c r="A7" s="9" t="s">
        <v>68</v>
      </c>
      <c r="B7" s="13" t="str">
        <f>TRIM(IF(AND(Riesgos!$E$5=$H7,Riesgos!$F$5=1),Riesgos!$A$5&amp;" ","")&amp;IF(AND(Riesgos!$E$6=$H7,Riesgos!$F$6=1),Riesgos!$A$6&amp;" ","")&amp;IF(AND(Riesgos!$E$7=$H7,Riesgos!$F$7=1),Riesgos!$A$7&amp;" ","")&amp;IF(AND(Riesgos!$E$8=$H7,Riesgos!$F$8=1),Riesgos!$A$8&amp;" ","")&amp;IF(AND(Riesgos!$E$9=$H7,Riesgos!$F$9=1),Riesgos!$A$9&amp;" ","")&amp;IF(AND(Riesgos!$E$10=$H7,Riesgos!$F$10=1),Riesgos!$A$10&amp;" ","")&amp;IF(AND(Riesgos!$E$11=$H7,Riesgos!$F$11=1),Riesgos!$A$11&amp;" ","")&amp;IF(AND(Riesgos!$E$12=$H7,Riesgos!$F$12=1),Riesgos!$A$12&amp;" ","")&amp;IF(AND(Riesgos!$E$13=$H7,Riesgos!$F$13=1),Riesgos!$A$13&amp;" ",""))</f>
        <v/>
      </c>
      <c r="C7" s="10" t="str">
        <f>TRIM(IF(AND(Riesgos!$E$5=$H7,Riesgos!$F$5=2),Riesgos!$A$5&amp;" ","")&amp;IF(AND(Riesgos!$E$6=$H7,Riesgos!$F$6=2),Riesgos!$A$6&amp;" ","")&amp;IF(AND(Riesgos!$E$7=$H7,Riesgos!$F$7=2),Riesgos!$A$7&amp;" ","")&amp;IF(AND(Riesgos!$E$8=$H7,Riesgos!$F$8=2),Riesgos!$A$8&amp;" ","")&amp;IF(AND(Riesgos!$E$9=$H7,Riesgos!$F$9=2),Riesgos!$A$9&amp;" ","")&amp;IF(AND(Riesgos!$E$10=$H7,Riesgos!$F$10=2),Riesgos!$A$10&amp;" ","")&amp;IF(AND(Riesgos!$E$11=$H7,Riesgos!$F$11=2),Riesgos!$A$11&amp;" ","")&amp;IF(AND(Riesgos!$E$12=$H7,Riesgos!$F$12=2),Riesgos!$A$12&amp;" ","")&amp;IF(AND(Riesgos!$E$13=$H7,Riesgos!$F$13=2),Riesgos!$A$13&amp;" ",""))</f>
        <v/>
      </c>
      <c r="D7" s="10" t="str">
        <f>TRIM(IF(AND(Riesgos!$E$5=$H7,Riesgos!$F$5=3),Riesgos!$A$5&amp;" ","")&amp;IF(AND(Riesgos!$E$6=$H7,Riesgos!$F$6=3),Riesgos!$A$6&amp;" ","")&amp;IF(AND(Riesgos!$E$7=$H7,Riesgos!$F$7=3),Riesgos!$A$7&amp;" ","")&amp;IF(AND(Riesgos!$E$8=$H7,Riesgos!$F$8=3),Riesgos!$A$8&amp;" ","")&amp;IF(AND(Riesgos!$E$9=$H7,Riesgos!$F$9=3),Riesgos!$A$9&amp;" ","")&amp;IF(AND(Riesgos!$E$10=$H7,Riesgos!$F$10=3),Riesgos!$A$10&amp;" ","")&amp;IF(AND(Riesgos!$E$11=$H7,Riesgos!$F$11=3),Riesgos!$A$11&amp;" ","")&amp;IF(AND(Riesgos!$E$12=$H7,Riesgos!$F$12=3),Riesgos!$A$12&amp;" ","")&amp;IF(AND(Riesgos!$E$13=$H7,Riesgos!$F$13=3),Riesgos!$A$13&amp;" ",""))</f>
        <v>R5 R7 (+)</v>
      </c>
      <c r="E7" s="11" t="str">
        <f>TRIM(IF(AND(Riesgos!$E$5=$H7,Riesgos!$F$5=4),Riesgos!$A$5&amp;" ","")&amp;IF(AND(Riesgos!$E$6=$H7,Riesgos!$F$6=4),Riesgos!$A$6&amp;" ","")&amp;IF(AND(Riesgos!$E$7=$H7,Riesgos!$F$7=4),Riesgos!$A$7&amp;" ","")&amp;IF(AND(Riesgos!$E$8=$H7,Riesgos!$F$8=4),Riesgos!$A$8&amp;" ","")&amp;IF(AND(Riesgos!$E$9=$H7,Riesgos!$F$9=4),Riesgos!$A$9&amp;" ","")&amp;IF(AND(Riesgos!$E$10=$H7,Riesgos!$F$10=4),Riesgos!$A$10&amp;" ","")&amp;IF(AND(Riesgos!$E$11=$H7,Riesgos!$F$11=4),Riesgos!$A$11&amp;" ","")&amp;IF(AND(Riesgos!$E$12=$H7,Riesgos!$F$12=4),Riesgos!$A$12&amp;" ","")&amp;IF(AND(Riesgos!$E$13=$H7,Riesgos!$F$13=4),Riesgos!$A$13&amp;" ",""))</f>
        <v>R3 R4</v>
      </c>
      <c r="F7" s="12" t="str">
        <f>TRIM(IF(AND(Riesgos!$E$5=$H7,Riesgos!$F$5=5),Riesgos!$A$5&amp;" ","")&amp;IF(AND(Riesgos!$E$6=$H7,Riesgos!$F$6=5),Riesgos!$A$6&amp;" ","")&amp;IF(AND(Riesgos!$E$7=$H7,Riesgos!$F$7=5),Riesgos!$A$7&amp;" ","")&amp;IF(AND(Riesgos!$E$8=$H7,Riesgos!$F$8=5),Riesgos!$A$8&amp;" ","")&amp;IF(AND(Riesgos!$E$9=$H7,Riesgos!$F$9=5),Riesgos!$A$9&amp;" ","")&amp;IF(AND(Riesgos!$E$10=$H7,Riesgos!$F$10=5),Riesgos!$A$10&amp;" ","")&amp;IF(AND(Riesgos!$E$11=$H7,Riesgos!$F$11=5),Riesgos!$A$11&amp;" ","")&amp;IF(AND(Riesgos!$E$12=$H7,Riesgos!$F$12=5),Riesgos!$A$12&amp;" ","")&amp;IF(AND(Riesgos!$E$13=$H7,Riesgos!$F$13=5),Riesgos!$A$13&amp;" ",""))</f>
        <v/>
      </c>
      <c r="H7" s="8">
        <v>3</v>
      </c>
    </row>
    <row r="8" spans="1:8" ht="48" customHeight="1" x14ac:dyDescent="0.25">
      <c r="A8" s="9" t="s">
        <v>69</v>
      </c>
      <c r="B8" s="13" t="str">
        <f>TRIM(IF(AND(Riesgos!$E$5=$H8,Riesgos!$F$5=1),Riesgos!$A$5&amp;" ","")&amp;IF(AND(Riesgos!$E$6=$H8,Riesgos!$F$6=1),Riesgos!$A$6&amp;" ","")&amp;IF(AND(Riesgos!$E$7=$H8,Riesgos!$F$7=1),Riesgos!$A$7&amp;" ","")&amp;IF(AND(Riesgos!$E$8=$H8,Riesgos!$F$8=1),Riesgos!$A$8&amp;" ","")&amp;IF(AND(Riesgos!$E$9=$H8,Riesgos!$F$9=1),Riesgos!$A$9&amp;" ","")&amp;IF(AND(Riesgos!$E$10=$H8,Riesgos!$F$10=1),Riesgos!$A$10&amp;" ","")&amp;IF(AND(Riesgos!$E$11=$H8,Riesgos!$F$11=1),Riesgos!$A$11&amp;" ","")&amp;IF(AND(Riesgos!$E$12=$H8,Riesgos!$F$12=1),Riesgos!$A$12&amp;" ","")&amp;IF(AND(Riesgos!$E$13=$H8,Riesgos!$F$13=1),Riesgos!$A$13&amp;" ",""))</f>
        <v/>
      </c>
      <c r="C8" s="13" t="str">
        <f>TRIM(IF(AND(Riesgos!$E$5=$H8,Riesgos!$F$5=2),Riesgos!$A$5&amp;" ","")&amp;IF(AND(Riesgos!$E$6=$H8,Riesgos!$F$6=2),Riesgos!$A$6&amp;" ","")&amp;IF(AND(Riesgos!$E$7=$H8,Riesgos!$F$7=2),Riesgos!$A$7&amp;" ","")&amp;IF(AND(Riesgos!$E$8=$H8,Riesgos!$F$8=2),Riesgos!$A$8&amp;" ","")&amp;IF(AND(Riesgos!$E$9=$H8,Riesgos!$F$9=2),Riesgos!$A$9&amp;" ","")&amp;IF(AND(Riesgos!$E$10=$H8,Riesgos!$F$10=2),Riesgos!$A$10&amp;" ","")&amp;IF(AND(Riesgos!$E$11=$H8,Riesgos!$F$11=2),Riesgos!$A$11&amp;" ","")&amp;IF(AND(Riesgos!$E$12=$H8,Riesgos!$F$12=2),Riesgos!$A$12&amp;" ","")&amp;IF(AND(Riesgos!$E$13=$H8,Riesgos!$F$13=2),Riesgos!$A$13&amp;" ",""))</f>
        <v/>
      </c>
      <c r="D8" s="10" t="str">
        <f>TRIM(IF(AND(Riesgos!$E$5=$H8,Riesgos!$F$5=3),Riesgos!$A$5&amp;" ","")&amp;IF(AND(Riesgos!$E$6=$H8,Riesgos!$F$6=3),Riesgos!$A$6&amp;" ","")&amp;IF(AND(Riesgos!$E$7=$H8,Riesgos!$F$7=3),Riesgos!$A$7&amp;" ","")&amp;IF(AND(Riesgos!$E$8=$H8,Riesgos!$F$8=3),Riesgos!$A$8&amp;" ","")&amp;IF(AND(Riesgos!$E$9=$H8,Riesgos!$F$9=3),Riesgos!$A$9&amp;" ","")&amp;IF(AND(Riesgos!$E$10=$H8,Riesgos!$F$10=3),Riesgos!$A$10&amp;" ","")&amp;IF(AND(Riesgos!$E$11=$H8,Riesgos!$F$11=3),Riesgos!$A$11&amp;" ","")&amp;IF(AND(Riesgos!$E$12=$H8,Riesgos!$F$12=3),Riesgos!$A$12&amp;" ","")&amp;IF(AND(Riesgos!$E$13=$H8,Riesgos!$F$13=3),Riesgos!$A$13&amp;" ",""))</f>
        <v/>
      </c>
      <c r="E8" s="10" t="str">
        <f>TRIM(IF(AND(Riesgos!$E$5=$H8,Riesgos!$F$5=4),Riesgos!$A$5&amp;" ","")&amp;IF(AND(Riesgos!$E$6=$H8,Riesgos!$F$6=4),Riesgos!$A$6&amp;" ","")&amp;IF(AND(Riesgos!$E$7=$H8,Riesgos!$F$7=4),Riesgos!$A$7&amp;" ","")&amp;IF(AND(Riesgos!$E$8=$H8,Riesgos!$F$8=4),Riesgos!$A$8&amp;" ","")&amp;IF(AND(Riesgos!$E$9=$H8,Riesgos!$F$9=4),Riesgos!$A$9&amp;" ","")&amp;IF(AND(Riesgos!$E$10=$H8,Riesgos!$F$10=4),Riesgos!$A$10&amp;" ","")&amp;IF(AND(Riesgos!$E$11=$H8,Riesgos!$F$11=4),Riesgos!$A$11&amp;" ","")&amp;IF(AND(Riesgos!$E$12=$H8,Riesgos!$F$12=4),Riesgos!$A$12&amp;" ","")&amp;IF(AND(Riesgos!$E$13=$H8,Riesgos!$F$13=4),Riesgos!$A$13&amp;" ",""))</f>
        <v>R6 R8</v>
      </c>
      <c r="F8" s="11" t="str">
        <f>TRIM(IF(AND(Riesgos!$E$5=$H8,Riesgos!$F$5=5),Riesgos!$A$5&amp;" ","")&amp;IF(AND(Riesgos!$E$6=$H8,Riesgos!$F$6=5),Riesgos!$A$6&amp;" ","")&amp;IF(AND(Riesgos!$E$7=$H8,Riesgos!$F$7=5),Riesgos!$A$7&amp;" ","")&amp;IF(AND(Riesgos!$E$8=$H8,Riesgos!$F$8=5),Riesgos!$A$8&amp;" ","")&amp;IF(AND(Riesgos!$E$9=$H8,Riesgos!$F$9=5),Riesgos!$A$9&amp;" ","")&amp;IF(AND(Riesgos!$E$10=$H8,Riesgos!$F$10=5),Riesgos!$A$10&amp;" ","")&amp;IF(AND(Riesgos!$E$11=$H8,Riesgos!$F$11=5),Riesgos!$A$11&amp;" ","")&amp;IF(AND(Riesgos!$E$12=$H8,Riesgos!$F$12=5),Riesgos!$A$12&amp;" ","")&amp;IF(AND(Riesgos!$E$13=$H8,Riesgos!$F$13=5),Riesgos!$A$13&amp;" ",""))</f>
        <v/>
      </c>
      <c r="H8" s="8">
        <v>2</v>
      </c>
    </row>
    <row r="9" spans="1:8" ht="48" customHeight="1" x14ac:dyDescent="0.25">
      <c r="A9" s="9" t="s">
        <v>70</v>
      </c>
      <c r="B9" s="13" t="str">
        <f>TRIM(IF(AND(Riesgos!$E$5=$H9,Riesgos!$F$5=1),Riesgos!$A$5&amp;" ","")&amp;IF(AND(Riesgos!$E$6=$H9,Riesgos!$F$6=1),Riesgos!$A$6&amp;" ","")&amp;IF(AND(Riesgos!$E$7=$H9,Riesgos!$F$7=1),Riesgos!$A$7&amp;" ","")&amp;IF(AND(Riesgos!$E$8=$H9,Riesgos!$F$8=1),Riesgos!$A$8&amp;" ","")&amp;IF(AND(Riesgos!$E$9=$H9,Riesgos!$F$9=1),Riesgos!$A$9&amp;" ","")&amp;IF(AND(Riesgos!$E$10=$H9,Riesgos!$F$10=1),Riesgos!$A$10&amp;" ","")&amp;IF(AND(Riesgos!$E$11=$H9,Riesgos!$F$11=1),Riesgos!$A$11&amp;" ","")&amp;IF(AND(Riesgos!$E$12=$H9,Riesgos!$F$12=1),Riesgos!$A$12&amp;" ","")&amp;IF(AND(Riesgos!$E$13=$H9,Riesgos!$F$13=1),Riesgos!$A$13&amp;" ",""))</f>
        <v/>
      </c>
      <c r="C9" s="13" t="str">
        <f>TRIM(IF(AND(Riesgos!$E$5=$H9,Riesgos!$F$5=2),Riesgos!$A$5&amp;" ","")&amp;IF(AND(Riesgos!$E$6=$H9,Riesgos!$F$6=2),Riesgos!$A$6&amp;" ","")&amp;IF(AND(Riesgos!$E$7=$H9,Riesgos!$F$7=2),Riesgos!$A$7&amp;" ","")&amp;IF(AND(Riesgos!$E$8=$H9,Riesgos!$F$8=2),Riesgos!$A$8&amp;" ","")&amp;IF(AND(Riesgos!$E$9=$H9,Riesgos!$F$9=2),Riesgos!$A$9&amp;" ","")&amp;IF(AND(Riesgos!$E$10=$H9,Riesgos!$F$10=2),Riesgos!$A$10&amp;" ","")&amp;IF(AND(Riesgos!$E$11=$H9,Riesgos!$F$11=2),Riesgos!$A$11&amp;" ","")&amp;IF(AND(Riesgos!$E$12=$H9,Riesgos!$F$12=2),Riesgos!$A$12&amp;" ","")&amp;IF(AND(Riesgos!$E$13=$H9,Riesgos!$F$13=2),Riesgos!$A$13&amp;" ",""))</f>
        <v/>
      </c>
      <c r="D9" s="13" t="str">
        <f>TRIM(IF(AND(Riesgos!$E$5=$H9,Riesgos!$F$5=3),Riesgos!$A$5&amp;" ","")&amp;IF(AND(Riesgos!$E$6=$H9,Riesgos!$F$6=3),Riesgos!$A$6&amp;" ","")&amp;IF(AND(Riesgos!$E$7=$H9,Riesgos!$F$7=3),Riesgos!$A$7&amp;" ","")&amp;IF(AND(Riesgos!$E$8=$H9,Riesgos!$F$8=3),Riesgos!$A$8&amp;" ","")&amp;IF(AND(Riesgos!$E$9=$H9,Riesgos!$F$9=3),Riesgos!$A$9&amp;" ","")&amp;IF(AND(Riesgos!$E$10=$H9,Riesgos!$F$10=3),Riesgos!$A$10&amp;" ","")&amp;IF(AND(Riesgos!$E$11=$H9,Riesgos!$F$11=3),Riesgos!$A$11&amp;" ","")&amp;IF(AND(Riesgos!$E$12=$H9,Riesgos!$F$12=3),Riesgos!$A$12&amp;" ","")&amp;IF(AND(Riesgos!$E$13=$H9,Riesgos!$F$13=3),Riesgos!$A$13&amp;" ",""))</f>
        <v>R8 res.</v>
      </c>
      <c r="E9" s="13" t="str">
        <f>TRIM(IF(AND(Riesgos!$E$5=$H9,Riesgos!$F$5=4),Riesgos!$A$5&amp;" ","")&amp;IF(AND(Riesgos!$E$6=$H9,Riesgos!$F$6=4),Riesgos!$A$6&amp;" ","")&amp;IF(AND(Riesgos!$E$7=$H9,Riesgos!$F$7=4),Riesgos!$A$7&amp;" ","")&amp;IF(AND(Riesgos!$E$8=$H9,Riesgos!$F$8=4),Riesgos!$A$8&amp;" ","")&amp;IF(AND(Riesgos!$E$9=$H9,Riesgos!$F$9=4),Riesgos!$A$9&amp;" ","")&amp;IF(AND(Riesgos!$E$10=$H9,Riesgos!$F$10=4),Riesgos!$A$10&amp;" ","")&amp;IF(AND(Riesgos!$E$11=$H9,Riesgos!$F$11=4),Riesgos!$A$11&amp;" ","")&amp;IF(AND(Riesgos!$E$12=$H9,Riesgos!$F$12=4),Riesgos!$A$12&amp;" ","")&amp;IF(AND(Riesgos!$E$13=$H9,Riesgos!$F$13=4),Riesgos!$A$13&amp;" ",""))</f>
        <v/>
      </c>
      <c r="F9" s="10" t="str">
        <f>TRIM(IF(AND(Riesgos!$E$5=$H9,Riesgos!$F$5=5),Riesgos!$A$5&amp;" ","")&amp;IF(AND(Riesgos!$E$6=$H9,Riesgos!$F$6=5),Riesgos!$A$6&amp;" ","")&amp;IF(AND(Riesgos!$E$7=$H9,Riesgos!$F$7=5),Riesgos!$A$7&amp;" ","")&amp;IF(AND(Riesgos!$E$8=$H9,Riesgos!$F$8=5),Riesgos!$A$8&amp;" ","")&amp;IF(AND(Riesgos!$E$9=$H9,Riesgos!$F$9=5),Riesgos!$A$9&amp;" ","")&amp;IF(AND(Riesgos!$E$10=$H9,Riesgos!$F$10=5),Riesgos!$A$10&amp;" ","")&amp;IF(AND(Riesgos!$E$11=$H9,Riesgos!$F$11=5),Riesgos!$A$11&amp;" ","")&amp;IF(AND(Riesgos!$E$12=$H9,Riesgos!$F$12=5),Riesgos!$A$12&amp;" ","")&amp;IF(AND(Riesgos!$E$13=$H9,Riesgos!$F$13=5),Riesgos!$A$13&amp;" ",""))</f>
        <v/>
      </c>
      <c r="H9" s="8">
        <v>1</v>
      </c>
    </row>
    <row r="11" spans="1:8" hidden="1" x14ac:dyDescent="0.25">
      <c r="A11" s="14" t="s">
        <v>71</v>
      </c>
    </row>
    <row r="12" spans="1:8" x14ac:dyDescent="0.25">
      <c r="A12" s="15" t="s">
        <v>72</v>
      </c>
    </row>
    <row r="13" spans="1:8" x14ac:dyDescent="0.25">
      <c r="A13" s="16" t="s">
        <v>73</v>
      </c>
    </row>
    <row r="14" spans="1:8" x14ac:dyDescent="0.25">
      <c r="A14" s="17" t="s">
        <v>74</v>
      </c>
    </row>
    <row r="15" spans="1:8" x14ac:dyDescent="0.25">
      <c r="A15" s="18" t="s">
        <v>75</v>
      </c>
    </row>
    <row r="16" spans="1:8" hidden="1" x14ac:dyDescent="0.25">
      <c r="A16" s="7" t="s">
        <v>76</v>
      </c>
    </row>
    <row r="18" spans="1:2" x14ac:dyDescent="0.25">
      <c r="A18" s="14" t="s">
        <v>77</v>
      </c>
    </row>
    <row r="19" spans="1:2" x14ac:dyDescent="0.25">
      <c r="A19" s="19" t="s">
        <v>78</v>
      </c>
      <c r="B19" s="4">
        <f>COUNTIF(Riesgos!$H$5:$H$13,A19)</f>
        <v>2</v>
      </c>
    </row>
    <row r="20" spans="1:2" x14ac:dyDescent="0.25">
      <c r="A20" s="19" t="s">
        <v>79</v>
      </c>
      <c r="B20" s="4">
        <f>COUNTIF(Riesgos!$H$5:$H$13,A20)</f>
        <v>2</v>
      </c>
    </row>
    <row r="21" spans="1:2" x14ac:dyDescent="0.25">
      <c r="A21" s="19" t="s">
        <v>80</v>
      </c>
      <c r="B21" s="4">
        <f>COUNTIF(Riesgos!$H$5:$H$13,A21)</f>
        <v>3</v>
      </c>
    </row>
    <row r="22" spans="1:2" x14ac:dyDescent="0.25">
      <c r="A22" s="19" t="s">
        <v>81</v>
      </c>
      <c r="B22" s="4">
        <f>COUNTIF(Riesgos!$H$5:$H$13,A22)</f>
        <v>1</v>
      </c>
    </row>
    <row r="23" spans="1:2" x14ac:dyDescent="0.25">
      <c r="A23" s="19" t="s">
        <v>45</v>
      </c>
      <c r="B23" s="4">
        <f>COUNTIF(Riesgos!$H$5:$H$13,A23)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34" customWidth="1"/>
    <col min="2" max="3" width="14" customWidth="1"/>
    <col min="4" max="6" width="11" customWidth="1"/>
    <col min="7" max="7" width="3" customWidth="1"/>
    <col min="8" max="31" width="6" customWidth="1"/>
  </cols>
  <sheetData>
    <row r="1" spans="1:31" ht="18" x14ac:dyDescent="0.25">
      <c r="A1" s="1" t="s">
        <v>82</v>
      </c>
    </row>
    <row r="2" spans="1:31" x14ac:dyDescent="0.25">
      <c r="A2" s="2" t="s">
        <v>83</v>
      </c>
    </row>
    <row r="3" spans="1:31" x14ac:dyDescent="0.25">
      <c r="H3" s="20">
        <f>DATE(2026,10,12)</f>
        <v>46307</v>
      </c>
      <c r="I3" s="20">
        <f t="shared" ref="I3:AE3" si="0">H3+7</f>
        <v>46314</v>
      </c>
      <c r="J3" s="20">
        <f t="shared" si="0"/>
        <v>46321</v>
      </c>
      <c r="K3" s="20">
        <f t="shared" si="0"/>
        <v>46328</v>
      </c>
      <c r="L3" s="20">
        <f t="shared" si="0"/>
        <v>46335</v>
      </c>
      <c r="M3" s="20">
        <f t="shared" si="0"/>
        <v>46342</v>
      </c>
      <c r="N3" s="20">
        <f t="shared" si="0"/>
        <v>46349</v>
      </c>
      <c r="O3" s="20">
        <f t="shared" si="0"/>
        <v>46356</v>
      </c>
      <c r="P3" s="20">
        <f t="shared" si="0"/>
        <v>46363</v>
      </c>
      <c r="Q3" s="20">
        <f t="shared" si="0"/>
        <v>46370</v>
      </c>
      <c r="R3" s="20">
        <f t="shared" si="0"/>
        <v>46377</v>
      </c>
      <c r="S3" s="20">
        <f t="shared" si="0"/>
        <v>46384</v>
      </c>
      <c r="T3" s="20">
        <f t="shared" si="0"/>
        <v>46391</v>
      </c>
      <c r="U3" s="20">
        <f t="shared" si="0"/>
        <v>46398</v>
      </c>
      <c r="V3" s="20">
        <f t="shared" si="0"/>
        <v>46405</v>
      </c>
      <c r="W3" s="20">
        <f t="shared" si="0"/>
        <v>46412</v>
      </c>
      <c r="X3" s="20">
        <f t="shared" si="0"/>
        <v>46419</v>
      </c>
      <c r="Y3" s="20">
        <f t="shared" si="0"/>
        <v>46426</v>
      </c>
      <c r="Z3" s="20">
        <f t="shared" si="0"/>
        <v>46433</v>
      </c>
      <c r="AA3" s="20">
        <f t="shared" si="0"/>
        <v>46440</v>
      </c>
      <c r="AB3" s="20">
        <f t="shared" si="0"/>
        <v>46447</v>
      </c>
      <c r="AC3" s="20">
        <f t="shared" si="0"/>
        <v>46454</v>
      </c>
      <c r="AD3" s="20">
        <f t="shared" si="0"/>
        <v>46461</v>
      </c>
      <c r="AE3" s="20">
        <f t="shared" si="0"/>
        <v>46468</v>
      </c>
    </row>
    <row r="4" spans="1:31" ht="25.5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H4" s="3" t="s">
        <v>90</v>
      </c>
      <c r="I4" s="3" t="s">
        <v>91</v>
      </c>
      <c r="J4" s="3" t="s">
        <v>92</v>
      </c>
      <c r="K4" s="3" t="s">
        <v>93</v>
      </c>
      <c r="L4" s="3" t="s">
        <v>94</v>
      </c>
      <c r="M4" s="3" t="s">
        <v>95</v>
      </c>
      <c r="N4" s="3" t="s">
        <v>96</v>
      </c>
      <c r="O4" s="3" t="s">
        <v>97</v>
      </c>
      <c r="P4" s="3" t="s">
        <v>98</v>
      </c>
      <c r="Q4" s="3" t="s">
        <v>99</v>
      </c>
      <c r="R4" s="3" t="s">
        <v>100</v>
      </c>
      <c r="S4" s="3" t="s">
        <v>101</v>
      </c>
      <c r="T4" s="3" t="s">
        <v>102</v>
      </c>
      <c r="U4" s="3" t="s">
        <v>103</v>
      </c>
      <c r="V4" s="3" t="s">
        <v>104</v>
      </c>
      <c r="W4" s="3" t="s">
        <v>105</v>
      </c>
      <c r="X4" s="3" t="s">
        <v>106</v>
      </c>
      <c r="Y4" s="3" t="s">
        <v>107</v>
      </c>
      <c r="Z4" s="3" t="s">
        <v>108</v>
      </c>
      <c r="AA4" s="3" t="s">
        <v>109</v>
      </c>
      <c r="AB4" s="3" t="s">
        <v>110</v>
      </c>
      <c r="AC4" s="3" t="s">
        <v>111</v>
      </c>
      <c r="AD4" s="3" t="s">
        <v>112</v>
      </c>
      <c r="AE4" s="3" t="s">
        <v>113</v>
      </c>
    </row>
    <row r="5" spans="1:31" x14ac:dyDescent="0.25">
      <c r="A5" s="19" t="s">
        <v>114</v>
      </c>
      <c r="B5" s="21">
        <v>46307</v>
      </c>
      <c r="C5" s="21">
        <v>46318</v>
      </c>
      <c r="D5" s="19">
        <f t="shared" ref="D5:D13" si="1">C5-B5+1</f>
        <v>12</v>
      </c>
      <c r="E5" s="19">
        <f t="shared" ref="E5:E13" si="2">ROUND(D5/7,1)</f>
        <v>1.7</v>
      </c>
      <c r="F5" s="4" t="s">
        <v>115</v>
      </c>
      <c r="H5" s="22">
        <f t="shared" ref="H5:Q13" si="3">IF(AND($B5&lt;=H$3+6,$C5&gt;=H$3),1,"")</f>
        <v>1</v>
      </c>
      <c r="I5" s="22">
        <f t="shared" si="3"/>
        <v>1</v>
      </c>
      <c r="J5" s="22" t="str">
        <f t="shared" si="3"/>
        <v/>
      </c>
      <c r="K5" s="22" t="str">
        <f t="shared" si="3"/>
        <v/>
      </c>
      <c r="L5" s="22" t="str">
        <f t="shared" si="3"/>
        <v/>
      </c>
      <c r="M5" s="22" t="str">
        <f t="shared" si="3"/>
        <v/>
      </c>
      <c r="N5" s="22" t="str">
        <f t="shared" si="3"/>
        <v/>
      </c>
      <c r="O5" s="22" t="str">
        <f t="shared" si="3"/>
        <v/>
      </c>
      <c r="P5" s="22" t="str">
        <f t="shared" si="3"/>
        <v/>
      </c>
      <c r="Q5" s="22" t="str">
        <f t="shared" si="3"/>
        <v/>
      </c>
      <c r="R5" s="22" t="str">
        <f t="shared" ref="R5:AE13" si="4">IF(AND($B5&lt;=R$3+6,$C5&gt;=R$3),1,"")</f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4"/>
        <v/>
      </c>
      <c r="AC5" s="22" t="str">
        <f t="shared" si="4"/>
        <v/>
      </c>
      <c r="AD5" s="22" t="str">
        <f t="shared" si="4"/>
        <v/>
      </c>
      <c r="AE5" s="22" t="str">
        <f t="shared" si="4"/>
        <v/>
      </c>
    </row>
    <row r="6" spans="1:31" x14ac:dyDescent="0.25">
      <c r="A6" s="19" t="s">
        <v>116</v>
      </c>
      <c r="B6" s="21">
        <v>46321</v>
      </c>
      <c r="C6" s="21">
        <v>46346</v>
      </c>
      <c r="D6" s="19">
        <f t="shared" si="1"/>
        <v>26</v>
      </c>
      <c r="E6" s="19">
        <f t="shared" si="2"/>
        <v>3.7</v>
      </c>
      <c r="F6" s="4" t="s">
        <v>115</v>
      </c>
      <c r="H6" s="22" t="str">
        <f t="shared" si="3"/>
        <v/>
      </c>
      <c r="I6" s="22" t="str">
        <f t="shared" si="3"/>
        <v/>
      </c>
      <c r="J6" s="22">
        <f t="shared" si="3"/>
        <v>1</v>
      </c>
      <c r="K6" s="22">
        <f t="shared" si="3"/>
        <v>1</v>
      </c>
      <c r="L6" s="22">
        <f t="shared" si="3"/>
        <v>1</v>
      </c>
      <c r="M6" s="22">
        <f t="shared" si="3"/>
        <v>1</v>
      </c>
      <c r="N6" s="22" t="str">
        <f t="shared" si="3"/>
        <v/>
      </c>
      <c r="O6" s="22" t="str">
        <f t="shared" si="3"/>
        <v/>
      </c>
      <c r="P6" s="22" t="str">
        <f t="shared" si="3"/>
        <v/>
      </c>
      <c r="Q6" s="22" t="str">
        <f t="shared" si="3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4"/>
        <v/>
      </c>
      <c r="AC6" s="22" t="str">
        <f t="shared" si="4"/>
        <v/>
      </c>
      <c r="AD6" s="22" t="str">
        <f t="shared" si="4"/>
        <v/>
      </c>
      <c r="AE6" s="22" t="str">
        <f t="shared" si="4"/>
        <v/>
      </c>
    </row>
    <row r="7" spans="1:31" x14ac:dyDescent="0.25">
      <c r="A7" s="19" t="s">
        <v>117</v>
      </c>
      <c r="B7" s="21">
        <v>46321</v>
      </c>
      <c r="C7" s="21">
        <v>46339</v>
      </c>
      <c r="D7" s="19">
        <f t="shared" si="1"/>
        <v>19</v>
      </c>
      <c r="E7" s="19">
        <f t="shared" si="2"/>
        <v>2.7</v>
      </c>
      <c r="F7" s="4" t="s">
        <v>118</v>
      </c>
      <c r="H7" s="22" t="str">
        <f t="shared" si="3"/>
        <v/>
      </c>
      <c r="I7" s="22" t="str">
        <f t="shared" si="3"/>
        <v/>
      </c>
      <c r="J7" s="22">
        <f t="shared" si="3"/>
        <v>1</v>
      </c>
      <c r="K7" s="22">
        <f t="shared" si="3"/>
        <v>1</v>
      </c>
      <c r="L7" s="22">
        <f t="shared" si="3"/>
        <v>1</v>
      </c>
      <c r="M7" s="22" t="str">
        <f t="shared" si="3"/>
        <v/>
      </c>
      <c r="N7" s="22" t="str">
        <f t="shared" si="3"/>
        <v/>
      </c>
      <c r="O7" s="22" t="str">
        <f t="shared" si="3"/>
        <v/>
      </c>
      <c r="P7" s="22" t="str">
        <f t="shared" si="3"/>
        <v/>
      </c>
      <c r="Q7" s="22" t="str">
        <f t="shared" si="3"/>
        <v/>
      </c>
      <c r="R7" s="22" t="str">
        <f t="shared" si="4"/>
        <v/>
      </c>
      <c r="S7" s="22" t="str">
        <f t="shared" si="4"/>
        <v/>
      </c>
      <c r="T7" s="22" t="str">
        <f t="shared" si="4"/>
        <v/>
      </c>
      <c r="U7" s="22" t="str">
        <f t="shared" si="4"/>
        <v/>
      </c>
      <c r="V7" s="22" t="str">
        <f t="shared" si="4"/>
        <v/>
      </c>
      <c r="W7" s="22" t="str">
        <f t="shared" si="4"/>
        <v/>
      </c>
      <c r="X7" s="22" t="str">
        <f t="shared" si="4"/>
        <v/>
      </c>
      <c r="Y7" s="22" t="str">
        <f t="shared" si="4"/>
        <v/>
      </c>
      <c r="Z7" s="22" t="str">
        <f t="shared" si="4"/>
        <v/>
      </c>
      <c r="AA7" s="22" t="str">
        <f t="shared" si="4"/>
        <v/>
      </c>
      <c r="AB7" s="22" t="str">
        <f t="shared" si="4"/>
        <v/>
      </c>
      <c r="AC7" s="22" t="str">
        <f t="shared" si="4"/>
        <v/>
      </c>
      <c r="AD7" s="22" t="str">
        <f t="shared" si="4"/>
        <v/>
      </c>
      <c r="AE7" s="22" t="str">
        <f t="shared" si="4"/>
        <v/>
      </c>
    </row>
    <row r="8" spans="1:31" x14ac:dyDescent="0.25">
      <c r="A8" s="19" t="s">
        <v>119</v>
      </c>
      <c r="B8" s="21">
        <v>46349</v>
      </c>
      <c r="C8" s="21">
        <v>46402</v>
      </c>
      <c r="D8" s="19">
        <f t="shared" si="1"/>
        <v>54</v>
      </c>
      <c r="E8" s="19">
        <f t="shared" si="2"/>
        <v>7.7</v>
      </c>
      <c r="F8" s="4" t="s">
        <v>115</v>
      </c>
      <c r="H8" s="22" t="str">
        <f t="shared" si="3"/>
        <v/>
      </c>
      <c r="I8" s="22" t="str">
        <f t="shared" si="3"/>
        <v/>
      </c>
      <c r="J8" s="22" t="str">
        <f t="shared" si="3"/>
        <v/>
      </c>
      <c r="K8" s="22" t="str">
        <f t="shared" si="3"/>
        <v/>
      </c>
      <c r="L8" s="22" t="str">
        <f t="shared" si="3"/>
        <v/>
      </c>
      <c r="M8" s="22" t="str">
        <f t="shared" si="3"/>
        <v/>
      </c>
      <c r="N8" s="22">
        <f t="shared" si="3"/>
        <v>1</v>
      </c>
      <c r="O8" s="22">
        <f t="shared" si="3"/>
        <v>1</v>
      </c>
      <c r="P8" s="22">
        <f t="shared" si="3"/>
        <v>1</v>
      </c>
      <c r="Q8" s="22">
        <f t="shared" si="3"/>
        <v>1</v>
      </c>
      <c r="R8" s="22">
        <f t="shared" si="4"/>
        <v>1</v>
      </c>
      <c r="S8" s="22">
        <f t="shared" si="4"/>
        <v>1</v>
      </c>
      <c r="T8" s="22">
        <f t="shared" si="4"/>
        <v>1</v>
      </c>
      <c r="U8" s="22">
        <f t="shared" si="4"/>
        <v>1</v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4"/>
        <v/>
      </c>
      <c r="AC8" s="22" t="str">
        <f t="shared" si="4"/>
        <v/>
      </c>
      <c r="AD8" s="22" t="str">
        <f t="shared" si="4"/>
        <v/>
      </c>
      <c r="AE8" s="22" t="str">
        <f t="shared" si="4"/>
        <v/>
      </c>
    </row>
    <row r="9" spans="1:31" x14ac:dyDescent="0.25">
      <c r="A9" s="19" t="s">
        <v>120</v>
      </c>
      <c r="B9" s="21">
        <v>46398</v>
      </c>
      <c r="C9" s="21">
        <v>46423</v>
      </c>
      <c r="D9" s="19">
        <f t="shared" si="1"/>
        <v>26</v>
      </c>
      <c r="E9" s="19">
        <f t="shared" si="2"/>
        <v>3.7</v>
      </c>
      <c r="F9" s="4" t="s">
        <v>115</v>
      </c>
      <c r="H9" s="22" t="str">
        <f t="shared" si="3"/>
        <v/>
      </c>
      <c r="I9" s="22" t="str">
        <f t="shared" si="3"/>
        <v/>
      </c>
      <c r="J9" s="22" t="str">
        <f t="shared" si="3"/>
        <v/>
      </c>
      <c r="K9" s="22" t="str">
        <f t="shared" si="3"/>
        <v/>
      </c>
      <c r="L9" s="22" t="str">
        <f t="shared" si="3"/>
        <v/>
      </c>
      <c r="M9" s="22" t="str">
        <f t="shared" si="3"/>
        <v/>
      </c>
      <c r="N9" s="22" t="str">
        <f t="shared" si="3"/>
        <v/>
      </c>
      <c r="O9" s="22" t="str">
        <f t="shared" si="3"/>
        <v/>
      </c>
      <c r="P9" s="22" t="str">
        <f t="shared" si="3"/>
        <v/>
      </c>
      <c r="Q9" s="22" t="str">
        <f t="shared" si="3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>
        <f t="shared" si="4"/>
        <v>1</v>
      </c>
      <c r="V9" s="22">
        <f t="shared" si="4"/>
        <v>1</v>
      </c>
      <c r="W9" s="22">
        <f t="shared" si="4"/>
        <v>1</v>
      </c>
      <c r="X9" s="22">
        <f t="shared" si="4"/>
        <v>1</v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4"/>
        <v/>
      </c>
      <c r="AC9" s="22" t="str">
        <f t="shared" si="4"/>
        <v/>
      </c>
      <c r="AD9" s="22" t="str">
        <f t="shared" si="4"/>
        <v/>
      </c>
      <c r="AE9" s="22" t="str">
        <f t="shared" si="4"/>
        <v/>
      </c>
    </row>
    <row r="10" spans="1:31" x14ac:dyDescent="0.25">
      <c r="A10" s="19" t="s">
        <v>121</v>
      </c>
      <c r="B10" s="21">
        <v>46391</v>
      </c>
      <c r="C10" s="21">
        <v>46430</v>
      </c>
      <c r="D10" s="19">
        <f t="shared" si="1"/>
        <v>40</v>
      </c>
      <c r="E10" s="19">
        <f t="shared" si="2"/>
        <v>5.7</v>
      </c>
      <c r="F10" s="4" t="s">
        <v>118</v>
      </c>
      <c r="H10" s="22" t="str">
        <f t="shared" si="3"/>
        <v/>
      </c>
      <c r="I10" s="22" t="str">
        <f t="shared" si="3"/>
        <v/>
      </c>
      <c r="J10" s="22" t="str">
        <f t="shared" si="3"/>
        <v/>
      </c>
      <c r="K10" s="22" t="str">
        <f t="shared" si="3"/>
        <v/>
      </c>
      <c r="L10" s="22" t="str">
        <f t="shared" si="3"/>
        <v/>
      </c>
      <c r="M10" s="22" t="str">
        <f t="shared" si="3"/>
        <v/>
      </c>
      <c r="N10" s="22" t="str">
        <f t="shared" si="3"/>
        <v/>
      </c>
      <c r="O10" s="22" t="str">
        <f t="shared" si="3"/>
        <v/>
      </c>
      <c r="P10" s="22" t="str">
        <f t="shared" si="3"/>
        <v/>
      </c>
      <c r="Q10" s="22" t="str">
        <f t="shared" si="3"/>
        <v/>
      </c>
      <c r="R10" s="22" t="str">
        <f t="shared" si="4"/>
        <v/>
      </c>
      <c r="S10" s="22" t="str">
        <f t="shared" si="4"/>
        <v/>
      </c>
      <c r="T10" s="22">
        <f t="shared" si="4"/>
        <v>1</v>
      </c>
      <c r="U10" s="22">
        <f t="shared" si="4"/>
        <v>1</v>
      </c>
      <c r="V10" s="22">
        <f t="shared" si="4"/>
        <v>1</v>
      </c>
      <c r="W10" s="22">
        <f t="shared" si="4"/>
        <v>1</v>
      </c>
      <c r="X10" s="22">
        <f t="shared" si="4"/>
        <v>1</v>
      </c>
      <c r="Y10" s="22">
        <f t="shared" si="4"/>
        <v>1</v>
      </c>
      <c r="Z10" s="22" t="str">
        <f t="shared" si="4"/>
        <v/>
      </c>
      <c r="AA10" s="22" t="str">
        <f t="shared" si="4"/>
        <v/>
      </c>
      <c r="AB10" s="22" t="str">
        <f t="shared" si="4"/>
        <v/>
      </c>
      <c r="AC10" s="22" t="str">
        <f t="shared" si="4"/>
        <v/>
      </c>
      <c r="AD10" s="22" t="str">
        <f t="shared" si="4"/>
        <v/>
      </c>
      <c r="AE10" s="22" t="str">
        <f t="shared" si="4"/>
        <v/>
      </c>
    </row>
    <row r="11" spans="1:31" x14ac:dyDescent="0.25">
      <c r="A11" s="19" t="s">
        <v>122</v>
      </c>
      <c r="B11" s="21">
        <v>46433</v>
      </c>
      <c r="C11" s="21">
        <v>46451</v>
      </c>
      <c r="D11" s="19">
        <f t="shared" si="1"/>
        <v>19</v>
      </c>
      <c r="E11" s="19">
        <f t="shared" si="2"/>
        <v>2.7</v>
      </c>
      <c r="F11" s="4" t="s">
        <v>115</v>
      </c>
      <c r="H11" s="22" t="str">
        <f t="shared" si="3"/>
        <v/>
      </c>
      <c r="I11" s="22" t="str">
        <f t="shared" si="3"/>
        <v/>
      </c>
      <c r="J11" s="22" t="str">
        <f t="shared" si="3"/>
        <v/>
      </c>
      <c r="K11" s="22" t="str">
        <f t="shared" si="3"/>
        <v/>
      </c>
      <c r="L11" s="22" t="str">
        <f t="shared" si="3"/>
        <v/>
      </c>
      <c r="M11" s="22" t="str">
        <f t="shared" si="3"/>
        <v/>
      </c>
      <c r="N11" s="22" t="str">
        <f t="shared" si="3"/>
        <v/>
      </c>
      <c r="O11" s="22" t="str">
        <f t="shared" si="3"/>
        <v/>
      </c>
      <c r="P11" s="22" t="str">
        <f t="shared" si="3"/>
        <v/>
      </c>
      <c r="Q11" s="22" t="str">
        <f t="shared" si="3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>
        <f t="shared" si="4"/>
        <v>1</v>
      </c>
      <c r="AA11" s="22">
        <f t="shared" si="4"/>
        <v>1</v>
      </c>
      <c r="AB11" s="22">
        <f t="shared" si="4"/>
        <v>1</v>
      </c>
      <c r="AC11" s="22" t="str">
        <f t="shared" si="4"/>
        <v/>
      </c>
      <c r="AD11" s="22" t="str">
        <f t="shared" si="4"/>
        <v/>
      </c>
      <c r="AE11" s="22" t="str">
        <f t="shared" si="4"/>
        <v/>
      </c>
    </row>
    <row r="12" spans="1:31" x14ac:dyDescent="0.25">
      <c r="A12" s="19" t="s">
        <v>123</v>
      </c>
      <c r="B12" s="21">
        <v>46440</v>
      </c>
      <c r="C12" s="21">
        <v>46465</v>
      </c>
      <c r="D12" s="19">
        <f t="shared" si="1"/>
        <v>26</v>
      </c>
      <c r="E12" s="19">
        <f t="shared" si="2"/>
        <v>3.7</v>
      </c>
      <c r="F12" s="4" t="s">
        <v>118</v>
      </c>
      <c r="H12" s="22" t="str">
        <f t="shared" si="3"/>
        <v/>
      </c>
      <c r="I12" s="22" t="str">
        <f t="shared" si="3"/>
        <v/>
      </c>
      <c r="J12" s="22" t="str">
        <f t="shared" si="3"/>
        <v/>
      </c>
      <c r="K12" s="22" t="str">
        <f t="shared" si="3"/>
        <v/>
      </c>
      <c r="L12" s="22" t="str">
        <f t="shared" si="3"/>
        <v/>
      </c>
      <c r="M12" s="22" t="str">
        <f t="shared" si="3"/>
        <v/>
      </c>
      <c r="N12" s="22" t="str">
        <f t="shared" si="3"/>
        <v/>
      </c>
      <c r="O12" s="22" t="str">
        <f t="shared" si="3"/>
        <v/>
      </c>
      <c r="P12" s="22" t="str">
        <f t="shared" si="3"/>
        <v/>
      </c>
      <c r="Q12" s="22" t="str">
        <f t="shared" si="3"/>
        <v/>
      </c>
      <c r="R12" s="22" t="str">
        <f t="shared" si="4"/>
        <v/>
      </c>
      <c r="S12" s="22" t="str">
        <f t="shared" si="4"/>
        <v/>
      </c>
      <c r="T12" s="22" t="str">
        <f t="shared" si="4"/>
        <v/>
      </c>
      <c r="U12" s="22" t="str">
        <f t="shared" si="4"/>
        <v/>
      </c>
      <c r="V12" s="22" t="str">
        <f t="shared" si="4"/>
        <v/>
      </c>
      <c r="W12" s="22" t="str">
        <f t="shared" si="4"/>
        <v/>
      </c>
      <c r="X12" s="22" t="str">
        <f t="shared" si="4"/>
        <v/>
      </c>
      <c r="Y12" s="22" t="str">
        <f t="shared" si="4"/>
        <v/>
      </c>
      <c r="Z12" s="22" t="str">
        <f t="shared" si="4"/>
        <v/>
      </c>
      <c r="AA12" s="22">
        <f t="shared" si="4"/>
        <v>1</v>
      </c>
      <c r="AB12" s="22">
        <f t="shared" si="4"/>
        <v>1</v>
      </c>
      <c r="AC12" s="22">
        <f t="shared" si="4"/>
        <v>1</v>
      </c>
      <c r="AD12" s="22">
        <f t="shared" si="4"/>
        <v>1</v>
      </c>
      <c r="AE12" s="22" t="str">
        <f t="shared" si="4"/>
        <v/>
      </c>
    </row>
    <row r="13" spans="1:31" x14ac:dyDescent="0.25">
      <c r="A13" s="19" t="s">
        <v>124</v>
      </c>
      <c r="B13" s="21">
        <v>46468</v>
      </c>
      <c r="C13" s="21">
        <v>46476</v>
      </c>
      <c r="D13" s="19">
        <f t="shared" si="1"/>
        <v>9</v>
      </c>
      <c r="E13" s="19">
        <f t="shared" si="2"/>
        <v>1.3</v>
      </c>
      <c r="F13" s="4" t="s">
        <v>115</v>
      </c>
      <c r="H13" s="22" t="str">
        <f t="shared" si="3"/>
        <v/>
      </c>
      <c r="I13" s="22" t="str">
        <f t="shared" si="3"/>
        <v/>
      </c>
      <c r="J13" s="22" t="str">
        <f t="shared" si="3"/>
        <v/>
      </c>
      <c r="K13" s="22" t="str">
        <f t="shared" si="3"/>
        <v/>
      </c>
      <c r="L13" s="22" t="str">
        <f t="shared" si="3"/>
        <v/>
      </c>
      <c r="M13" s="22" t="str">
        <f t="shared" si="3"/>
        <v/>
      </c>
      <c r="N13" s="22" t="str">
        <f t="shared" si="3"/>
        <v/>
      </c>
      <c r="O13" s="22" t="str">
        <f t="shared" si="3"/>
        <v/>
      </c>
      <c r="P13" s="22" t="str">
        <f t="shared" si="3"/>
        <v/>
      </c>
      <c r="Q13" s="22" t="str">
        <f t="shared" si="3"/>
        <v/>
      </c>
      <c r="R13" s="22" t="str">
        <f t="shared" si="4"/>
        <v/>
      </c>
      <c r="S13" s="22" t="str">
        <f t="shared" si="4"/>
        <v/>
      </c>
      <c r="T13" s="22" t="str">
        <f t="shared" si="4"/>
        <v/>
      </c>
      <c r="U13" s="22" t="str">
        <f t="shared" si="4"/>
        <v/>
      </c>
      <c r="V13" s="22" t="str">
        <f t="shared" si="4"/>
        <v/>
      </c>
      <c r="W13" s="22" t="str">
        <f t="shared" si="4"/>
        <v/>
      </c>
      <c r="X13" s="22" t="str">
        <f t="shared" si="4"/>
        <v/>
      </c>
      <c r="Y13" s="22" t="str">
        <f t="shared" si="4"/>
        <v/>
      </c>
      <c r="Z13" s="22" t="str">
        <f t="shared" si="4"/>
        <v/>
      </c>
      <c r="AA13" s="22" t="str">
        <f t="shared" si="4"/>
        <v/>
      </c>
      <c r="AB13" s="22" t="str">
        <f t="shared" si="4"/>
        <v/>
      </c>
      <c r="AC13" s="22" t="str">
        <f t="shared" si="4"/>
        <v/>
      </c>
      <c r="AD13" s="22" t="str">
        <f t="shared" si="4"/>
        <v/>
      </c>
      <c r="AE13" s="22">
        <f t="shared" si="4"/>
        <v>1</v>
      </c>
    </row>
    <row r="15" spans="1:31" x14ac:dyDescent="0.25">
      <c r="A15" s="14" t="s">
        <v>125</v>
      </c>
      <c r="E15" s="14">
        <f>ROUND((MAX(C5:C13)-MIN(B5:B13)+1)/7,1)</f>
        <v>24.3</v>
      </c>
    </row>
    <row r="16" spans="1:31" x14ac:dyDescent="0.25">
      <c r="A16" s="7" t="s">
        <v>126</v>
      </c>
    </row>
  </sheetData>
  <conditionalFormatting sqref="H5:AE13">
    <cfRule type="expression" dxfId="1" priority="2">
      <formula>AND(H5=1,$F5="Sí")</formula>
    </cfRule>
    <cfRule type="expression" dxfId="0" priority="3">
      <formula>H5=1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Riesgos</vt:lpstr>
      <vt:lpstr>Mapa de calor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Julian Arley Florez Cifuentes</cp:lastModifiedBy>
  <cp:revision>0</cp:revision>
  <dcterms:created xsi:type="dcterms:W3CDTF">2026-10-08T00:44:03Z</dcterms:created>
  <dcterms:modified xsi:type="dcterms:W3CDTF">2026-10-09T02:44:08Z</dcterms:modified>
  <dc:language>en-US</dc:language>
</cp:coreProperties>
</file>